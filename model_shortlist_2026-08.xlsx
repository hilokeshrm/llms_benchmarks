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  <sheet xmlns:r="http://schemas.openxmlformats.org/officeDocument/2006/relationships" name="Test Parameters" sheetId="2" state="visible" r:id="rId2"/>
    <sheet xmlns:r="http://schemas.openxmlformats.org/officeDocument/2006/relationships" name="Runtime Settings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benchmark</author>
  </authors>
  <commentList>
    <comment ref="B16" authorId="0" shapeId="0">
      <text>
        <t>Licence is the single highest-risk cell here. Gemma 1-3 shipped under the custom Gemma Terms of Use, which restrict some downstream uses. Apache 2.0 for Gemma 4 is reported by secondary sources and by a link on Google's own releases page, but confirm on the repo.</t>
      </text>
    </comment>
  </commentList>
</comments>
</file>

<file path=xl/comments/comment2.xml><?xml version="1.0" encoding="utf-8"?>
<comments xmlns="http://schemas.openxmlformats.org/spreadsheetml/2006/main">
  <authors>
    <author>benchmark</author>
  </authors>
  <commentList>
    <comment ref="F6" authorId="0" shapeId="0">
      <text>
        <t>EXAMPLE VALUES - overwrite. Shows the expected format: a 0-1 score entered as a decimal, not a percentage.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12" customWidth="1" min="4" max="4"/>
    <col width="52" customWidth="1" min="5" max="5"/>
    <col width="52" customWidth="1" min="6" max="6"/>
  </cols>
  <sheetData>
    <row r="1">
      <c r="A1" s="1" t="inlineStr">
        <is>
          <t>Model shortlist - two open-weights models to benchmark</t>
        </is>
      </c>
    </row>
    <row r="2">
      <c r="A2" s="2" t="inlineStr">
        <is>
          <t>Pick 1: latest flagship open-weights model from a lab outside China.  Pick 2: latest small open-weights model for single-GPU / edge.</t>
        </is>
      </c>
    </row>
    <row r="3">
      <c r="A3" s="2" t="inlineStr">
        <is>
          <t>Specs below were gathered from vendor docs and secondary trackers on 2026-08-06. Confirm every row marked VERIFY against the Hugging Face model card before you quote it.</t>
        </is>
      </c>
    </row>
    <row r="5">
      <c r="A5" s="3" t="inlineStr">
        <is>
          <t>Field</t>
        </is>
      </c>
      <c r="B5" s="3" t="inlineStr">
        <is>
          <t>PICK 1 - flagship</t>
        </is>
      </c>
      <c r="C5" s="3" t="inlineStr">
        <is>
          <t>PICK 2 - small</t>
        </is>
      </c>
      <c r="D5" s="3" t="inlineStr">
        <is>
          <t>Confidence</t>
        </is>
      </c>
      <c r="E5" s="3" t="inlineStr">
        <is>
          <t>Source / how to confirm</t>
        </is>
      </c>
    </row>
    <row r="6">
      <c r="A6" s="4" t="inlineStr">
        <is>
          <t>model_key</t>
        </is>
      </c>
      <c r="B6" s="5" t="inlineStr">
        <is>
          <t>gemma-4-31b-it</t>
        </is>
      </c>
      <c r="C6" s="5" t="inlineStr">
        <is>
          <t>gemma-4-e4b-it</t>
        </is>
      </c>
      <c r="D6" s="5" t="inlineStr">
        <is>
          <t>High</t>
        </is>
      </c>
      <c r="E6" s="5" t="inlineStr">
        <is>
          <t>Your own join key; keep stable across sheets.</t>
        </is>
      </c>
    </row>
    <row r="7">
      <c r="A7" s="4" t="inlineStr">
        <is>
          <t>Model name</t>
        </is>
      </c>
      <c r="B7" s="5" t="inlineStr">
        <is>
          <t>Gemma 4 31B (instruct)</t>
        </is>
      </c>
      <c r="C7" s="5" t="inlineStr">
        <is>
          <t>Gemma 4 E4B (instruct)</t>
        </is>
      </c>
      <c r="D7" s="5" t="inlineStr">
        <is>
          <t>High</t>
        </is>
      </c>
      <c r="E7" s="5" t="inlineStr">
        <is>
          <t>ai.google.dev/gemma/docs/releases</t>
        </is>
      </c>
    </row>
    <row r="8">
      <c r="A8" s="4" t="inlineStr">
        <is>
          <t>Developer</t>
        </is>
      </c>
      <c r="B8" s="5" t="inlineStr">
        <is>
          <t>Google DeepMind</t>
        </is>
      </c>
      <c r="C8" s="5" t="inlineStr">
        <is>
          <t>Google DeepMind</t>
        </is>
      </c>
      <c r="D8" s="5" t="inlineStr">
        <is>
          <t>High</t>
        </is>
      </c>
      <c r="E8" s="5" t="inlineStr">
        <is>
          <t>Model card</t>
        </is>
      </c>
    </row>
    <row r="9">
      <c r="A9" s="4" t="inlineStr">
        <is>
          <t>HQ country / bloc</t>
        </is>
      </c>
      <c r="B9" s="5" t="inlineStr">
        <is>
          <t>United States</t>
        </is>
      </c>
      <c r="C9" s="5" t="inlineStr">
        <is>
          <t>United States</t>
        </is>
      </c>
      <c r="D9" s="5" t="inlineStr">
        <is>
          <t>High</t>
        </is>
      </c>
      <c r="E9" s="5" t="inlineStr">
        <is>
          <t>Non-Chinese requirement satisfied</t>
        </is>
      </c>
    </row>
    <row r="10">
      <c r="A10" s="4" t="inlineStr">
        <is>
          <t>Release date</t>
        </is>
      </c>
      <c r="B10" s="5" t="inlineStr">
        <is>
          <t>2026-03-31</t>
        </is>
      </c>
      <c r="C10" s="5" t="inlineStr">
        <is>
          <t>2026-03-31</t>
        </is>
      </c>
      <c r="D10" s="5" t="inlineStr">
        <is>
          <t>High</t>
        </is>
      </c>
      <c r="E10" s="5" t="inlineStr">
        <is>
          <t>Gemma releases page</t>
        </is>
      </c>
    </row>
    <row r="11">
      <c r="A11" s="4" t="inlineStr">
        <is>
          <t>Params total</t>
        </is>
      </c>
      <c r="B11" s="5" t="inlineStr">
        <is>
          <t>31 B</t>
        </is>
      </c>
      <c r="C11" s="5" t="inlineStr">
        <is>
          <t>~4 B effective (E4B)</t>
        </is>
      </c>
      <c r="D11" s="6" t="inlineStr">
        <is>
          <t>VERIFY</t>
        </is>
      </c>
      <c r="E11" s="5" t="inlineStr">
        <is>
          <t>config.json on the HF repo</t>
        </is>
      </c>
    </row>
    <row r="12">
      <c r="A12" s="4" t="inlineStr">
        <is>
          <t>Params active</t>
        </is>
      </c>
      <c r="B12" s="5" t="inlineStr">
        <is>
          <t>31 B (dense - VERIFY)</t>
        </is>
      </c>
      <c r="C12" s="5" t="inlineStr">
        <is>
          <t>~4 B</t>
        </is>
      </c>
      <c r="D12" s="6" t="inlineStr">
        <is>
          <t>VERIFY</t>
        </is>
      </c>
      <c r="E12" s="5" t="inlineStr">
        <is>
          <t>Sibling 26B is MoE (26B-A4B); confirm whether 31B is dense before sizing VRAM.</t>
        </is>
      </c>
    </row>
    <row r="13">
      <c r="A13" s="4" t="inlineStr">
        <is>
          <t>Architecture</t>
        </is>
      </c>
      <c r="B13" s="5" t="inlineStr">
        <is>
          <t>Dense transformer (VERIFY)</t>
        </is>
      </c>
      <c r="C13" s="5" t="inlineStr">
        <is>
          <t>Elastic / nested small variant</t>
        </is>
      </c>
      <c r="D13" s="6" t="inlineStr">
        <is>
          <t>VERIFY</t>
        </is>
      </c>
      <c r="E13" s="5" t="inlineStr">
        <is>
          <t>Model card architecture section</t>
        </is>
      </c>
    </row>
    <row r="14">
      <c r="A14" s="4" t="inlineStr">
        <is>
          <t>Native context</t>
        </is>
      </c>
      <c r="B14" s="5" t="inlineStr">
        <is>
          <t>256,000 tokens</t>
        </is>
      </c>
      <c r="C14" s="5" t="inlineStr">
        <is>
          <t>256,000 tokens (VERIFY for E4B)</t>
        </is>
      </c>
      <c r="D14" s="6" t="inlineStr">
        <is>
          <t>VERIFY</t>
        </is>
      </c>
      <c r="E14" s="5" t="inlineStr">
        <is>
          <t>256K is documented for 26B/31B; the E-sizes may differ.</t>
        </is>
      </c>
    </row>
    <row r="15">
      <c r="A15" s="4" t="inlineStr">
        <is>
          <t>Modality</t>
        </is>
      </c>
      <c r="B15" s="5" t="inlineStr">
        <is>
          <t>Text + image + audio in</t>
        </is>
      </c>
      <c r="C15" s="5" t="inlineStr">
        <is>
          <t>Text + image + audio in</t>
        </is>
      </c>
      <c r="D15" s="5" t="inlineStr">
        <is>
          <t>Medium</t>
        </is>
      </c>
      <c r="E15" s="5" t="inlineStr">
        <is>
          <t>Gemma 4 docs</t>
        </is>
      </c>
    </row>
    <row r="16">
      <c r="A16" s="4" t="inlineStr">
        <is>
          <t>License</t>
        </is>
      </c>
      <c r="B16" s="5" t="inlineStr">
        <is>
          <t>Apache 2.0</t>
        </is>
      </c>
      <c r="C16" s="5" t="inlineStr">
        <is>
          <t>Apache 2.0</t>
        </is>
      </c>
      <c r="D16" s="6" t="inlineStr">
        <is>
          <t>VERIFY</t>
        </is>
      </c>
      <c r="E16" s="5" t="inlineStr">
        <is>
          <t>Reported as a move away from the Gemma Terms used through Gemma 3. Read LICENSE yourself - it decides whether you may fine-tune and redistribute.</t>
        </is>
      </c>
    </row>
    <row r="17">
      <c r="A17" s="4" t="inlineStr">
        <is>
          <t>Open weights</t>
        </is>
      </c>
      <c r="B17" s="5" t="inlineStr">
        <is>
          <t>Yes</t>
        </is>
      </c>
      <c r="C17" s="5" t="inlineStr">
        <is>
          <t>Yes</t>
        </is>
      </c>
      <c r="D17" s="5" t="inlineStr">
        <is>
          <t>High</t>
        </is>
      </c>
      <c r="E17" s="5" t="inlineStr">
        <is>
          <t>Downloadable from Hugging Face</t>
        </is>
      </c>
    </row>
    <row r="18">
      <c r="A18" s="4" t="inlineStr">
        <is>
          <t>Base (non-instruct) ckpt</t>
        </is>
      </c>
      <c r="B18" s="5" t="inlineStr">
        <is>
          <t>Yes - google/gemma-4-31B</t>
        </is>
      </c>
      <c r="C18" s="5" t="inlineStr">
        <is>
          <t>VERIFY</t>
        </is>
      </c>
      <c r="D18" s="5" t="inlineStr">
        <is>
          <t>Medium</t>
        </is>
      </c>
      <c r="E18" s="5" t="inlineStr">
        <is>
          <t>HF repo listing</t>
        </is>
      </c>
    </row>
    <row r="19">
      <c r="A19" s="4" t="inlineStr">
        <is>
          <t>HF repo id</t>
        </is>
      </c>
      <c r="B19" s="5" t="inlineStr">
        <is>
          <t>google/gemma-4-31B-it</t>
        </is>
      </c>
      <c r="C19" s="5" t="inlineStr">
        <is>
          <t>google/gemma-4-E4B-it</t>
        </is>
      </c>
      <c r="D19" s="6" t="inlineStr">
        <is>
          <t>VERIFY</t>
        </is>
      </c>
      <c r="E19" s="5" t="inlineStr">
        <is>
          <t>Resolve the exact repo before pulling; names drift.</t>
        </is>
      </c>
    </row>
    <row r="20">
      <c r="A20" s="4" t="inlineStr">
        <is>
          <t>Ollama tag</t>
        </is>
      </c>
      <c r="B20" s="5" t="inlineStr">
        <is>
          <t>VERIFY (gemma4:31b)</t>
        </is>
      </c>
      <c r="C20" s="5" t="inlineStr">
        <is>
          <t>VERIFY (gemma4:e4b)</t>
        </is>
      </c>
      <c r="D20" s="6" t="inlineStr">
        <is>
          <t>VERIFY</t>
        </is>
      </c>
      <c r="E20" s="5" t="inlineStr">
        <is>
          <t>ollama show &lt;tag&gt;, or your run_ollama_bench.py --check</t>
        </is>
      </c>
    </row>
    <row r="21">
      <c r="A21" s="4" t="inlineStr">
        <is>
          <t>Target hardware</t>
        </is>
      </c>
      <c r="B21" s="5" t="inlineStr">
        <is>
          <t>1x 24-48 GB GPU at 4-bit; 1x 80 GB at BF16</t>
        </is>
      </c>
      <c r="C21" s="5" t="inlineStr">
        <is>
          <t>Laptop / CPU / 8 GB GPU</t>
        </is>
      </c>
      <c r="D21" s="5" t="inlineStr">
        <is>
          <t>Medium</t>
        </is>
      </c>
      <c r="E21" s="5" t="inlineStr">
        <is>
          <t>Measure, do not assume</t>
        </is>
      </c>
    </row>
    <row r="22">
      <c r="A22" s="4" t="inlineStr">
        <is>
          <t>Why this one</t>
        </is>
      </c>
      <c r="B22" s="5" t="inlineStr">
        <is>
          <t>Highest-scoring open-weights model from a lab outside China on the Artificial Analysis Intelligence Index.</t>
        </is>
      </c>
      <c r="C22" s="5" t="inlineStr">
        <is>
          <t>Same family and tokenizer as Pick 1, so quality deltas are attributable to size rather than to lab, data or chat template.</t>
        </is>
      </c>
      <c r="D22" s="5" t="inlineStr">
        <is>
          <t>High</t>
        </is>
      </c>
      <c r="E22" s="5" t="inlineStr">
        <is>
          <t>artificialanalysis.ai open-weights launch tracker</t>
        </is>
      </c>
    </row>
    <row r="23">
      <c r="A23" s="1" t="inlineStr">
        <is>
          <t>Also considered (swap in if a pick fails your licence or hardware check)</t>
        </is>
      </c>
    </row>
    <row r="24">
      <c r="A24" s="3" t="inlineStr">
        <is>
          <t>Model</t>
        </is>
      </c>
      <c r="B24" s="3" t="inlineStr">
        <is>
          <t>Developer / HQ</t>
        </is>
      </c>
      <c r="C24" s="3" t="inlineStr">
        <is>
          <t>Released</t>
        </is>
      </c>
      <c r="D24" s="3" t="inlineStr">
        <is>
          <t>Size</t>
        </is>
      </c>
      <c r="E24" s="3" t="inlineStr">
        <is>
          <t>License</t>
        </is>
      </c>
      <c r="F24" s="3" t="inlineStr">
        <is>
          <t>Note</t>
        </is>
      </c>
    </row>
    <row r="25">
      <c r="A25" s="5" t="inlineStr">
        <is>
          <t>Gemma 4 12B Unified</t>
        </is>
      </c>
      <c r="B25" s="5" t="inlineStr">
        <is>
          <t>Google DeepMind / US</t>
        </is>
      </c>
      <c r="C25" s="5" t="inlineStr">
        <is>
          <t>2026-06-03</t>
        </is>
      </c>
      <c r="D25" s="5" t="inlineStr">
        <is>
          <t>12 B</t>
        </is>
      </c>
      <c r="E25" s="5" t="inlineStr">
        <is>
          <t>Apache 2.0 (VERIFY)</t>
        </is>
      </c>
      <c r="F25" s="5" t="inlineStr">
        <is>
          <t>Newest release in the Gemma 4 family. Pick this over E4B if 'latest' matters more to you than 'smallest'.</t>
        </is>
      </c>
    </row>
    <row r="26">
      <c r="A26" s="5" t="inlineStr">
        <is>
          <t>NVIDIA Nemotron 3 Super</t>
        </is>
      </c>
      <c r="B26" s="5" t="inlineStr">
        <is>
          <t>NVIDIA / US</t>
        </is>
      </c>
      <c r="C26" s="5" t="inlineStr">
        <is>
          <t>2026-03-11</t>
        </is>
      </c>
      <c r="D26" s="5" t="inlineStr">
        <is>
          <t>120 B total / 12 B active MoE</t>
        </is>
      </c>
      <c r="E26" s="5" t="inlineStr">
        <is>
          <t>NVIDIA Open Model License</t>
        </is>
      </c>
      <c r="F26" s="5" t="inlineStr">
        <is>
          <t>Hybrid Mamba-attention MoE. The other top non-Chinese open-weights model. Ships with training data and recipe.</t>
        </is>
      </c>
    </row>
    <row r="27">
      <c r="A27" s="5" t="inlineStr">
        <is>
          <t>NVIDIA Nemotron 3 Nano</t>
        </is>
      </c>
      <c r="B27" s="5" t="inlineStr">
        <is>
          <t>NVIDIA / US</t>
        </is>
      </c>
      <c r="C27" s="5" t="inlineStr">
        <is>
          <t>2025-12-15</t>
        </is>
      </c>
      <c r="D27" s="5" t="inlineStr">
        <is>
          <t>31.6 B total / 3.6 B active MoE</t>
        </is>
      </c>
      <c r="E27" s="5" t="inlineStr">
        <is>
          <t>NVIDIA Open Model License</t>
        </is>
      </c>
      <c r="F27" s="5" t="inlineStr">
        <is>
          <t>1M context, ~3.6B active. Strong small-model alternative to E4B if you need long context.</t>
        </is>
      </c>
    </row>
    <row r="28">
      <c r="A28" s="5" t="inlineStr">
        <is>
          <t>gpt-oss-20b / gpt-oss-120b</t>
        </is>
      </c>
      <c r="B28" s="5" t="inlineStr">
        <is>
          <t>OpenAI / US</t>
        </is>
      </c>
      <c r="C28" s="5" t="inlineStr">
        <is>
          <t>2025</t>
        </is>
      </c>
      <c r="D28" s="5" t="inlineStr">
        <is>
          <t>20 B / 120 B</t>
        </is>
      </c>
      <c r="E28" s="5" t="inlineStr">
        <is>
          <t>Apache 2.0</t>
        </is>
      </c>
      <c r="F28" s="5" t="inlineStr">
        <is>
          <t>Cleanest licence of the group, but older than the Gemma 4 and Nemotron 3 generations.</t>
        </is>
      </c>
    </row>
    <row r="29">
      <c r="A29" s="5" t="inlineStr">
        <is>
          <t>Mistral open-weights MoE</t>
        </is>
      </c>
      <c r="B29" s="5" t="inlineStr">
        <is>
          <t>Mistral AI / France (EU)</t>
        </is>
      </c>
      <c r="C29" s="5" t="inlineStr">
        <is>
          <t>2026-07 early access</t>
        </is>
      </c>
      <c r="D29" s="5" t="inlineStr">
        <is>
          <t>Not disclosed</t>
        </is>
      </c>
      <c r="E29" s="5" t="inlineStr">
        <is>
          <t>Not disclosed</t>
        </is>
      </c>
      <c r="F29" s="5" t="inlineStr">
        <is>
          <t>Announced, specs unconfirmed at time of writing. Revisit if you need an EU-headquartered lab.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1" customWidth="1" min="4" max="4"/>
    <col width="62" customWidth="1" min="5" max="5"/>
    <col width="40" customWidth="1" min="6" max="6"/>
    <col width="10" customWidth="1" min="7" max="7"/>
    <col width="44" customWidth="1" min="8" max="8"/>
  </cols>
  <sheetData>
    <row r="1">
      <c r="A1" s="1" t="inlineStr">
        <is>
          <t>Every parameter to test these two models against</t>
        </is>
      </c>
    </row>
    <row r="2">
      <c r="A2" s="2" t="inlineStr">
        <is>
          <t>Carried over from llm_catalog_2026-07.xlsx and scoped to the two picks. Core = collect on every run. Optional = collect where relevant.</t>
        </is>
      </c>
    </row>
    <row r="3">
      <c r="A3" s="2" t="inlineStr">
        <is>
          <t>Same-family pair, so identity, licence and tokenizer rows are cheap to fill; the rows that will actually decide the comparison are marked in the 'For this pair' column.</t>
        </is>
      </c>
    </row>
    <row r="5">
      <c r="A5" s="3" t="inlineStr">
        <is>
          <t>Axis</t>
        </is>
      </c>
      <c r="B5" s="3" t="inlineStr">
        <is>
          <t>Parameter</t>
        </is>
      </c>
      <c r="C5" s="3" t="inlineStr">
        <is>
          <t>Field name</t>
        </is>
      </c>
      <c r="D5" s="3" t="inlineStr">
        <is>
          <t>Unit</t>
        </is>
      </c>
      <c r="E5" s="3" t="inlineStr">
        <is>
          <t>Definition / why it matters</t>
        </is>
      </c>
      <c r="F5" s="3" t="inlineStr">
        <is>
          <t>How to measure</t>
        </is>
      </c>
      <c r="G5" s="3" t="inlineStr">
        <is>
          <t>Priority</t>
        </is>
      </c>
      <c r="H5" s="3" t="inlineStr">
        <is>
          <t>For this pair</t>
        </is>
      </c>
    </row>
    <row r="6">
      <c r="A6" s="7" t="inlineStr">
        <is>
          <t>ACCURACY</t>
        </is>
      </c>
    </row>
    <row r="7">
      <c r="A7" s="5" t="inlineStr">
        <is>
          <t>Accuracy</t>
        </is>
      </c>
      <c r="B7" s="5" t="inlineStr">
        <is>
          <t>Task accuracy</t>
        </is>
      </c>
      <c r="C7" s="5" t="inlineStr">
        <is>
          <t>score_mean</t>
        </is>
      </c>
      <c r="D7" s="5" t="inlineStr">
        <is>
          <t>0-1</t>
        </is>
      </c>
      <c r="E7" s="5" t="inlineStr">
        <is>
          <t>Primary metric for the task suite (accuracy, pass@1, F1).</t>
        </is>
      </c>
      <c r="F7" s="5" t="inlineStr">
        <is>
          <t>Deterministic graders in graders.py.</t>
        </is>
      </c>
      <c r="G7" s="4" t="inlineStr">
        <is>
          <t>Core</t>
        </is>
      </c>
      <c r="H7" s="8" t="inlineStr">
        <is>
          <t>DECIDER - the headline quality gap between 31B and E4B.</t>
        </is>
      </c>
    </row>
    <row r="8">
      <c r="A8" s="5" t="inlineStr">
        <is>
          <t>Accuracy</t>
        </is>
      </c>
      <c r="B8" s="5" t="inlineStr">
        <is>
          <t>Score dispersion</t>
        </is>
      </c>
      <c r="C8" s="5" t="inlineStr">
        <is>
          <t>score_stdev</t>
        </is>
      </c>
      <c r="D8" s="5" t="inlineStr">
        <is>
          <t>0-1</t>
        </is>
      </c>
      <c r="E8" s="5" t="inlineStr">
        <is>
          <t>Stdev over every graded item, not over repeats.</t>
        </is>
      </c>
      <c r="F8" s="5" t="inlineStr">
        <is>
          <t>Runner computes it.</t>
        </is>
      </c>
      <c r="G8" s="4" t="inlineStr">
        <is>
          <t>Core</t>
        </is>
      </c>
      <c r="H8" s="5" t="inlineStr"/>
    </row>
    <row r="9">
      <c r="A9" s="5" t="inlineStr">
        <is>
          <t>Accuracy</t>
        </is>
      </c>
      <c r="B9" s="5" t="inlineStr">
        <is>
          <t>95% confidence interval</t>
        </is>
      </c>
      <c r="C9" s="5" t="inlineStr">
        <is>
          <t>score_ci95_halfwidth</t>
        </is>
      </c>
      <c r="D9" s="5" t="inlineStr">
        <is>
          <t>pts</t>
        </is>
      </c>
      <c r="E9" s="5" t="inlineStr">
        <is>
          <t>1.96*stdev/sqrt(n*repeats). If two models' intervals overlap they are tied.</t>
        </is>
      </c>
      <c r="F9" s="5" t="inlineStr">
        <is>
          <t>Formula. Grow n_samples to narrow it.</t>
        </is>
      </c>
      <c r="G9" s="4" t="inlineStr">
        <is>
          <t>Core</t>
        </is>
      </c>
      <c r="H9" s="8" t="inlineStr">
        <is>
          <t>DECIDER - if the intervals overlap, the small model is good enough.</t>
        </is>
      </c>
    </row>
    <row r="10">
      <c r="A10" s="5" t="inlineStr">
        <is>
          <t>Accuracy</t>
        </is>
      </c>
      <c r="B10" s="5" t="inlineStr">
        <is>
          <t>Sample size</t>
        </is>
      </c>
      <c r="C10" s="5" t="inlineStr">
        <is>
          <t>n_samples</t>
        </is>
      </c>
      <c r="D10" s="5" t="inlineStr">
        <is>
          <t>count</t>
        </is>
      </c>
      <c r="E10" s="5" t="inlineStr">
        <is>
          <t>Graded items behind the score. 15 gives about +/-22 pts; 100 gives +/-9; 600 gives +/-4.</t>
        </is>
      </c>
      <c r="F10" s="5" t="inlineStr">
        <is>
          <t>Suite size.</t>
        </is>
      </c>
      <c r="G10" s="4" t="inlineStr">
        <is>
          <t>Core</t>
        </is>
      </c>
      <c r="H10" s="5" t="inlineStr"/>
    </row>
    <row r="11">
      <c r="A11" s="5" t="inlineStr">
        <is>
          <t>Accuracy</t>
        </is>
      </c>
      <c r="B11" s="5" t="inlineStr">
        <is>
          <t>Repeats</t>
        </is>
      </c>
      <c r="C11" s="5" t="inlineStr">
        <is>
          <t>repeats</t>
        </is>
      </c>
      <c r="D11" s="5" t="inlineStr">
        <is>
          <t>count</t>
        </is>
      </c>
      <c r="E11" s="5" t="inlineStr">
        <is>
          <t>Runs per configuration.</t>
        </is>
      </c>
      <c r="F11" s="5" t="inlineStr">
        <is>
          <t>Run_Config.</t>
        </is>
      </c>
      <c r="G11" s="4" t="inlineStr">
        <is>
          <t>Core</t>
        </is>
      </c>
      <c r="H11" s="5" t="inlineStr"/>
    </row>
    <row r="12">
      <c r="A12" s="5" t="inlineStr">
        <is>
          <t>Accuracy</t>
        </is>
      </c>
      <c r="B12" s="5" t="inlineStr">
        <is>
          <t>Metric name</t>
        </is>
      </c>
      <c r="C12" s="5" t="inlineStr">
        <is>
          <t>metric_name</t>
        </is>
      </c>
      <c r="D12" s="5" t="inlineStr">
        <is>
          <t>text</t>
        </is>
      </c>
      <c r="E12" s="5" t="inlineStr">
        <is>
          <t>Which metric score_mean holds - accuracy, pass@1, F1, exec-match.</t>
        </is>
      </c>
      <c r="F12" s="5" t="inlineStr">
        <is>
          <t>Runner records it.</t>
        </is>
      </c>
      <c r="G12" s="4" t="inlineStr">
        <is>
          <t>Core</t>
        </is>
      </c>
      <c r="H12" s="5" t="inlineStr"/>
    </row>
    <row r="13">
      <c r="A13" s="5" t="inlineStr">
        <is>
          <t>Accuracy</t>
        </is>
      </c>
      <c r="B13" s="5" t="inlineStr">
        <is>
          <t>Hallucination rate</t>
        </is>
      </c>
      <c r="C13" s="5" t="inlineStr">
        <is>
          <t>hallucination_rate_pct</t>
        </is>
      </c>
      <c r="D13" s="5" t="inlineStr">
        <is>
          <t>%</t>
        </is>
      </c>
      <c r="E13" s="5" t="inlineStr">
        <is>
          <t>Unsupported claims or answers to unanswerable questions.</t>
        </is>
      </c>
      <c r="F13" s="5" t="inlineStr">
        <is>
          <t>Grounded QA set (extraction suite).</t>
        </is>
      </c>
      <c r="G13" s="4" t="inlineStr">
        <is>
          <t>Core</t>
        </is>
      </c>
      <c r="H13" s="8" t="inlineStr">
        <is>
          <t>Small models degrade here first.</t>
        </is>
      </c>
    </row>
    <row r="14">
      <c r="A14" s="5" t="inlineStr">
        <is>
          <t>Accuracy</t>
        </is>
      </c>
      <c r="B14" s="5" t="inlineStr">
        <is>
          <t>Quantization delta</t>
        </is>
      </c>
      <c r="C14" s="5" t="inlineStr">
        <is>
          <t>delta_vs_fp16_pct</t>
        </is>
      </c>
      <c r="D14" s="5" t="inlineStr">
        <is>
          <t>%</t>
        </is>
      </c>
      <c r="E14" s="5" t="inlineStr">
        <is>
          <t>Quality lost against the BF16 baseline of the same model.</t>
        </is>
      </c>
      <c r="F14" s="5" t="inlineStr">
        <is>
          <t>Formula vs fp16_baseline_score.</t>
        </is>
      </c>
      <c r="G14" s="4" t="inlineStr">
        <is>
          <t>Core</t>
        </is>
      </c>
      <c r="H14" s="8" t="inlineStr">
        <is>
          <t>31B at 4-bit vs E4B at BF16 is the real deployment question.</t>
        </is>
      </c>
    </row>
    <row r="15">
      <c r="A15" s="5" t="inlineStr">
        <is>
          <t>Accuracy</t>
        </is>
      </c>
      <c r="B15" s="5" t="inlineStr">
        <is>
          <t>Verbosity</t>
        </is>
      </c>
      <c r="C15" s="5" t="inlineStr">
        <is>
          <t>avg_output_tokens</t>
        </is>
      </c>
      <c r="D15" s="5" t="inlineStr">
        <is>
          <t>tokens</t>
        </is>
      </c>
      <c r="E15" s="5" t="inlineStr">
        <is>
          <t>A model answering in 3x the tokens costs 3x to serve.</t>
        </is>
      </c>
      <c r="F15" s="5" t="inlineStr">
        <is>
          <t>Harness.</t>
        </is>
      </c>
      <c r="G15" s="4" t="inlineStr">
        <is>
          <t>Core</t>
        </is>
      </c>
      <c r="H15" s="5" t="inlineStr"/>
    </row>
    <row r="16">
      <c r="A16" s="5" t="inlineStr">
        <is>
          <t>Accuracy</t>
        </is>
      </c>
      <c r="B16" s="5" t="inlineStr">
        <is>
          <t>Judge model</t>
        </is>
      </c>
      <c r="C16" s="5" t="inlineStr">
        <is>
          <t>judge_model</t>
        </is>
      </c>
      <c r="D16" s="5" t="inlineStr">
        <is>
          <t>text</t>
        </is>
      </c>
      <c r="E16" s="5" t="inlineStr">
        <is>
          <t>Model used for any LLM-as-judge scoring. Must not be a contestant.</t>
        </is>
      </c>
      <c r="F16" s="5" t="inlineStr">
        <is>
          <t>Record it; 'none' for deterministic graders.</t>
        </is>
      </c>
      <c r="G16" s="4" t="inlineStr">
        <is>
          <t>Core</t>
        </is>
      </c>
      <c r="H16" s="5" t="inlineStr"/>
    </row>
    <row r="17">
      <c r="A17" s="5" t="inlineStr">
        <is>
          <t>Accuracy</t>
        </is>
      </c>
      <c r="B17" s="5" t="inlineStr">
        <is>
          <t>Calibration error</t>
        </is>
      </c>
      <c r="C17" s="5" t="inlineStr">
        <is>
          <t>ece</t>
        </is>
      </c>
      <c r="D17" s="5" t="inlineStr">
        <is>
          <t>0-1</t>
        </is>
      </c>
      <c r="E17" s="5" t="inlineStr">
        <is>
          <t>Expected calibration error - gap between stated confidence and actual correctness.</t>
        </is>
      </c>
      <c r="F17" s="5" t="inlineStr">
        <is>
          <t>Bin predictions by confidence, compare to accuracy.</t>
        </is>
      </c>
      <c r="G17" s="5" t="inlineStr">
        <is>
          <t>Optional</t>
        </is>
      </c>
      <c r="H17" s="5" t="inlineStr"/>
    </row>
    <row r="18">
      <c r="A18" s="5" t="inlineStr">
        <is>
          <t>Accuracy</t>
        </is>
      </c>
      <c r="B18" s="5" t="inlineStr">
        <is>
          <t>Abstention rate</t>
        </is>
      </c>
      <c r="C18" s="5" t="inlineStr">
        <is>
          <t>abstention_rate_pct</t>
        </is>
      </c>
      <c r="D18" s="5" t="inlineStr">
        <is>
          <t>%</t>
        </is>
      </c>
      <c r="E18" s="5" t="inlineStr">
        <is>
          <t>Says 'I don't know' when it should. High accuracy with zero abstention on unanswerable items is a red flag.</t>
        </is>
      </c>
      <c r="F18" s="5" t="inlineStr">
        <is>
          <t>Unanswerable subset of the extraction suite.</t>
        </is>
      </c>
      <c r="G18" s="4" t="inlineStr">
        <is>
          <t>Core</t>
        </is>
      </c>
      <c r="H18" s="8" t="inlineStr">
        <is>
          <t>Small models degrade here first.</t>
        </is>
      </c>
    </row>
    <row r="19">
      <c r="A19" s="5" t="inlineStr">
        <is>
          <t>Accuracy</t>
        </is>
      </c>
      <c r="B19" s="5" t="inlineStr">
        <is>
          <t>Self-consistency</t>
        </is>
      </c>
      <c r="C19" s="5" t="inlineStr">
        <is>
          <t>maj_at_k</t>
        </is>
      </c>
      <c r="D19" s="5" t="inlineStr">
        <is>
          <t>%</t>
        </is>
      </c>
      <c r="E19" s="5" t="inlineStr">
        <is>
          <t>Majority vote over k samples at temperature &gt; 0. Gains here mean the model knows but is unstable.</t>
        </is>
      </c>
      <c r="F19" s="5" t="inlineStr">
        <is>
          <t>k=5 samples, majority answer.</t>
        </is>
      </c>
      <c r="G19" s="5" t="inlineStr">
        <is>
          <t>Optional</t>
        </is>
      </c>
      <c r="H19" s="5" t="inlineStr"/>
    </row>
    <row r="20">
      <c r="A20" s="5" t="inlineStr">
        <is>
          <t>Accuracy</t>
        </is>
      </c>
      <c r="B20" s="5" t="inlineStr">
        <is>
          <t>pass@k</t>
        </is>
      </c>
      <c r="C20" s="5" t="inlineStr">
        <is>
          <t>pass_at_k</t>
        </is>
      </c>
      <c r="D20" s="5" t="inlineStr">
        <is>
          <t>%</t>
        </is>
      </c>
      <c r="E20" s="5" t="inlineStr">
        <is>
          <t>Any of k attempts correct. Report alongside pass@1.</t>
        </is>
      </c>
      <c r="F20" s="5" t="inlineStr">
        <is>
          <t>k samples, temperature 0.6-0.8.</t>
        </is>
      </c>
      <c r="G20" s="5" t="inlineStr">
        <is>
          <t>Optional</t>
        </is>
      </c>
      <c r="H20" s="5" t="inlineStr"/>
    </row>
    <row r="21">
      <c r="A21" s="5" t="inlineStr">
        <is>
          <t>Accuracy</t>
        </is>
      </c>
      <c r="B21" s="5" t="inlineStr">
        <is>
          <t>Contamination flag</t>
        </is>
      </c>
      <c r="C21" s="5" t="inlineStr">
        <is>
          <t>contamination_flag</t>
        </is>
      </c>
      <c r="D21" s="5" t="inlineStr">
        <is>
          <t>Y/N</t>
        </is>
      </c>
      <c r="E21" s="5" t="inlineStr">
        <is>
          <t>Whether the suite overlaps public benchmark data the model may have trained on.</t>
        </is>
      </c>
      <c r="F21" s="5" t="inlineStr">
        <is>
          <t>Canary strings / n-gram overlap. Our prompts are original, so N.</t>
        </is>
      </c>
      <c r="G21" s="4" t="inlineStr">
        <is>
          <t>Core</t>
        </is>
      </c>
      <c r="H21" s="5" t="inlineStr"/>
    </row>
    <row r="22">
      <c r="A22" s="5" t="inlineStr">
        <is>
          <t>Accuracy</t>
        </is>
      </c>
      <c r="B22" s="5" t="inlineStr">
        <is>
          <t>Option-order bias</t>
        </is>
      </c>
      <c r="C22" s="5" t="inlineStr">
        <is>
          <t>option_shuffle_delta_pct</t>
        </is>
      </c>
      <c r="D22" s="5" t="inlineStr">
        <is>
          <t>pts</t>
        </is>
      </c>
      <c r="E22" s="5" t="inlineStr">
        <is>
          <t>Score change when multiple-choice options are shuffled. Large delta = pattern matching, not knowledge.</t>
        </is>
      </c>
      <c r="F22" s="5" t="inlineStr">
        <is>
          <t>Re-run MCQ suite with permuted options.</t>
        </is>
      </c>
      <c r="G22" s="5" t="inlineStr">
        <is>
          <t>Optional</t>
        </is>
      </c>
      <c r="H22" s="5" t="inlineStr"/>
    </row>
    <row r="23">
      <c r="A23" s="5" t="inlineStr">
        <is>
          <t>Accuracy</t>
        </is>
      </c>
      <c r="B23" s="5" t="inlineStr">
        <is>
          <t>Run-to-run determinism</t>
        </is>
      </c>
      <c r="C23" s="5" t="inlineStr">
        <is>
          <t>score_range_across_repeats</t>
        </is>
      </c>
      <c r="D23" s="5" t="inlineStr">
        <is>
          <t>pts</t>
        </is>
      </c>
      <c r="E23" s="5" t="inlineStr">
        <is>
          <t>Max minus min across repeats. Should be ~0 at temperature 0.</t>
        </is>
      </c>
      <c r="F23" s="5" t="inlineStr">
        <is>
          <t>Formula over repeats.</t>
        </is>
      </c>
      <c r="G23" s="4" t="inlineStr">
        <is>
          <t>Core</t>
        </is>
      </c>
      <c r="H23" s="5" t="inlineStr"/>
    </row>
    <row r="24">
      <c r="A24" s="5" t="inlineStr">
        <is>
          <t>Accuracy</t>
        </is>
      </c>
      <c r="B24" s="5" t="inlineStr">
        <is>
          <t>Prompt-sensitivity</t>
        </is>
      </c>
      <c r="C24" s="5" t="inlineStr">
        <is>
          <t>prompt_variant_delta_pct</t>
        </is>
      </c>
      <c r="D24" s="5" t="inlineStr">
        <is>
          <t>pts</t>
        </is>
      </c>
      <c r="E24" s="5" t="inlineStr">
        <is>
          <t>Score change from a reworded but semantically identical prompt.</t>
        </is>
      </c>
      <c r="F24" s="5" t="inlineStr">
        <is>
          <t>Two phrasings of the same suite.</t>
        </is>
      </c>
      <c r="G24" s="5" t="inlineStr">
        <is>
          <t>Optional</t>
        </is>
      </c>
      <c r="H24" s="5" t="inlineStr"/>
    </row>
    <row r="25">
      <c r="A25" s="7" t="inlineStr">
        <is>
          <t>LATENCY</t>
        </is>
      </c>
    </row>
    <row r="26">
      <c r="A26" s="5" t="inlineStr">
        <is>
          <t>Latency</t>
        </is>
      </c>
      <c r="B26" s="5" t="inlineStr">
        <is>
          <t>Time to first token</t>
        </is>
      </c>
      <c r="C26" s="5" t="inlineStr">
        <is>
          <t>ttft_p50_ms / p95 / p99</t>
        </is>
      </c>
      <c r="D26" s="5" t="inlineStr">
        <is>
          <t>ms</t>
        </is>
      </c>
      <c r="E26" s="5" t="inlineStr">
        <is>
          <t>The number a user feels first.</t>
        </is>
      </c>
      <c r="F26" s="5" t="inlineStr">
        <is>
          <t>Client, streaming mode only.</t>
        </is>
      </c>
      <c r="G26" s="4" t="inlineStr">
        <is>
          <t>Core</t>
        </is>
      </c>
      <c r="H26" s="8" t="inlineStr">
        <is>
          <t>E4B should win decisively; quantify by how much.</t>
        </is>
      </c>
    </row>
    <row r="27">
      <c r="A27" s="5" t="inlineStr">
        <is>
          <t>Latency</t>
        </is>
      </c>
      <c r="B27" s="5" t="inlineStr">
        <is>
          <t>Time per output token</t>
        </is>
      </c>
      <c r="C27" s="5" t="inlineStr">
        <is>
          <t>tpot_p50_ms / p99</t>
        </is>
      </c>
      <c r="D27" s="5" t="inlineStr">
        <is>
          <t>ms</t>
        </is>
      </c>
      <c r="E27" s="5" t="inlineStr">
        <is>
          <t>Perceived typing speed after the first token.</t>
        </is>
      </c>
      <c r="F27" s="5" t="inlineStr">
        <is>
          <t>(e2e - ttft) / (out_tokens - 1).</t>
        </is>
      </c>
      <c r="G27" s="4" t="inlineStr">
        <is>
          <t>Core</t>
        </is>
      </c>
      <c r="H27" s="5" t="inlineStr"/>
    </row>
    <row r="28">
      <c r="A28" s="5" t="inlineStr">
        <is>
          <t>Latency</t>
        </is>
      </c>
      <c r="B28" s="5" t="inlineStr">
        <is>
          <t>Inter-token latency</t>
        </is>
      </c>
      <c r="C28" s="5" t="inlineStr">
        <is>
          <t>itl_p50_ms</t>
        </is>
      </c>
      <c r="D28" s="5" t="inlineStr">
        <is>
          <t>ms</t>
        </is>
      </c>
      <c r="E28" s="5" t="inlineStr">
        <is>
          <t>Gap between consecutive tokens; exposes scheduler stalls.</t>
        </is>
      </c>
      <c r="F28" s="5" t="inlineStr">
        <is>
          <t>Timestamp every stream chunk.</t>
        </is>
      </c>
      <c r="G28" s="5" t="inlineStr">
        <is>
          <t>Optional</t>
        </is>
      </c>
      <c r="H28" s="5" t="inlineStr"/>
    </row>
    <row r="29">
      <c r="A29" s="5" t="inlineStr">
        <is>
          <t>Latency</t>
        </is>
      </c>
      <c r="B29" s="5" t="inlineStr">
        <is>
          <t>End to end</t>
        </is>
      </c>
      <c r="C29" s="5" t="inlineStr">
        <is>
          <t>e2e_p50_ms / p95 / p99</t>
        </is>
      </c>
      <c r="D29" s="5" t="inlineStr">
        <is>
          <t>ms</t>
        </is>
      </c>
      <c r="E29" s="5" t="inlineStr">
        <is>
          <t>Request submit to last token.</t>
        </is>
      </c>
      <c r="F29" s="5" t="inlineStr">
        <is>
          <t>Client.</t>
        </is>
      </c>
      <c r="G29" s="4" t="inlineStr">
        <is>
          <t>Core</t>
        </is>
      </c>
      <c r="H29" s="5" t="inlineStr"/>
    </row>
    <row r="30">
      <c r="A30" s="5" t="inlineStr">
        <is>
          <t>Latency</t>
        </is>
      </c>
      <c r="B30" s="5" t="inlineStr">
        <is>
          <t>Per-request output rate</t>
        </is>
      </c>
      <c r="C30" s="5" t="inlineStr">
        <is>
          <t>output_tps_per_request</t>
        </is>
      </c>
      <c r="D30" s="5" t="inlineStr">
        <is>
          <t>tok/s</t>
        </is>
      </c>
      <c r="E30" s="5" t="inlineStr">
        <is>
          <t>Decode speed a single user sees.</t>
        </is>
      </c>
      <c r="F30" s="5" t="inlineStr">
        <is>
          <t>Client.</t>
        </is>
      </c>
      <c r="G30" s="4" t="inlineStr">
        <is>
          <t>Core</t>
        </is>
      </c>
      <c r="H30" s="8" t="inlineStr">
        <is>
          <t>E4B should win decisively; quantify by how much.</t>
        </is>
      </c>
    </row>
    <row r="31">
      <c r="A31" s="5" t="inlineStr">
        <is>
          <t>Latency</t>
        </is>
      </c>
      <c r="B31" s="5" t="inlineStr">
        <is>
          <t>Total output throughput</t>
        </is>
      </c>
      <c r="C31" s="5" t="inlineStr">
        <is>
          <t>total_output_tps</t>
        </is>
      </c>
      <c r="D31" s="5" t="inlineStr">
        <is>
          <t>tok/s</t>
        </is>
      </c>
      <c r="E31" s="5" t="inlineStr">
        <is>
          <t>System-wide capacity number.</t>
        </is>
      </c>
      <c r="F31" s="5" t="inlineStr">
        <is>
          <t>Client.</t>
        </is>
      </c>
      <c r="G31" s="4" t="inlineStr">
        <is>
          <t>Core</t>
        </is>
      </c>
      <c r="H31" s="5" t="inlineStr"/>
    </row>
    <row r="32">
      <c r="A32" s="5" t="inlineStr">
        <is>
          <t>Latency</t>
        </is>
      </c>
      <c r="B32" s="5" t="inlineStr">
        <is>
          <t>Total throughput</t>
        </is>
      </c>
      <c r="C32" s="5" t="inlineStr">
        <is>
          <t>total_throughput_tps</t>
        </is>
      </c>
      <c r="D32" s="5" t="inlineStr">
        <is>
          <t>tok/s</t>
        </is>
      </c>
      <c r="E32" s="5" t="inlineStr">
        <is>
          <t>Input + output tokens/s, comparable across shapes.</t>
        </is>
      </c>
      <c r="F32" s="5" t="inlineStr">
        <is>
          <t>Client.</t>
        </is>
      </c>
      <c r="G32" s="4" t="inlineStr">
        <is>
          <t>Core</t>
        </is>
      </c>
      <c r="H32" s="5" t="inlineStr"/>
    </row>
    <row r="33">
      <c r="A33" s="5" t="inlineStr">
        <is>
          <t>Latency</t>
        </is>
      </c>
      <c r="B33" s="5" t="inlineStr">
        <is>
          <t>Requests per second</t>
        </is>
      </c>
      <c r="C33" s="5" t="inlineStr">
        <is>
          <t>requests_per_s</t>
        </is>
      </c>
      <c r="D33" s="5" t="inlineStr">
        <is>
          <t>req/s</t>
        </is>
      </c>
      <c r="E33" s="5" t="inlineStr">
        <is>
          <t>Completed requests/s at this load point.</t>
        </is>
      </c>
      <c r="F33" s="5" t="inlineStr">
        <is>
          <t>Client.</t>
        </is>
      </c>
      <c r="G33" s="4" t="inlineStr">
        <is>
          <t>Core</t>
        </is>
      </c>
      <c r="H33" s="5" t="inlineStr"/>
    </row>
    <row r="34">
      <c r="A34" s="5" t="inlineStr">
        <is>
          <t>Latency</t>
        </is>
      </c>
      <c r="B34" s="5" t="inlineStr">
        <is>
          <t>Output tok/s per GPU</t>
        </is>
      </c>
      <c r="C34" s="5" t="inlineStr">
        <is>
          <t>output_tps_per_gpu</t>
        </is>
      </c>
      <c r="D34" s="5" t="inlineStr">
        <is>
          <t>tok/s</t>
        </is>
      </c>
      <c r="E34" s="5" t="inlineStr">
        <is>
          <t>Throughput normalised by GPUs actually used.</t>
        </is>
      </c>
      <c r="F34" s="5" t="inlineStr">
        <is>
          <t>Formula.</t>
        </is>
      </c>
      <c r="G34" s="4" t="inlineStr">
        <is>
          <t>Core</t>
        </is>
      </c>
      <c r="H34" s="5" t="inlineStr"/>
    </row>
    <row r="35">
      <c r="A35" s="5" t="inlineStr">
        <is>
          <t>Latency</t>
        </is>
      </c>
      <c r="B35" s="5" t="inlineStr">
        <is>
          <t>Cold start</t>
        </is>
      </c>
      <c r="C35" s="5" t="inlineStr">
        <is>
          <t>model_load_time_s</t>
        </is>
      </c>
      <c r="D35" s="5" t="inlineStr">
        <is>
          <t>s</t>
        </is>
      </c>
      <c r="E35" s="5" t="inlineStr">
        <is>
          <t>Process start to ready-to-serve.</t>
        </is>
      </c>
      <c r="F35" s="5" t="inlineStr">
        <is>
          <t>Engine log / Ollama load_duration.</t>
        </is>
      </c>
      <c r="G35" s="5" t="inlineStr">
        <is>
          <t>Optional</t>
        </is>
      </c>
      <c r="H35" s="5" t="inlineStr"/>
    </row>
    <row r="36">
      <c r="A36" s="5" t="inlineStr">
        <is>
          <t>Latency</t>
        </is>
      </c>
      <c r="B36" s="5" t="inlineStr">
        <is>
          <t>Time to first ANSWER token</t>
        </is>
      </c>
      <c r="C36" s="5" t="inlineStr">
        <is>
          <t>ttfat_ms</t>
        </is>
      </c>
      <c r="D36" s="5" t="inlineStr">
        <is>
          <t>ms</t>
        </is>
      </c>
      <c r="E36" s="5" t="inlineStr">
        <is>
          <t>On reasoning models TTFT is meaningless - the user waits through the whole thinking block. This is the real perceived latency.</t>
        </is>
      </c>
      <c r="F36" s="5" t="inlineStr">
        <is>
          <t>First token after the &lt;/think&gt; boundary.</t>
        </is>
      </c>
      <c r="G36" s="4" t="inlineStr">
        <is>
          <t>Core</t>
        </is>
      </c>
      <c r="H36" s="5" t="inlineStr"/>
    </row>
    <row r="37">
      <c r="A37" s="5" t="inlineStr">
        <is>
          <t>Latency</t>
        </is>
      </c>
      <c r="B37" s="5" t="inlineStr">
        <is>
          <t>Queue wait vs compute</t>
        </is>
      </c>
      <c r="C37" s="5" t="inlineStr">
        <is>
          <t>queue_time_ms</t>
        </is>
      </c>
      <c r="D37" s="5" t="inlineStr">
        <is>
          <t>ms</t>
        </is>
      </c>
      <c r="E37" s="5" t="inlineStr">
        <is>
          <t>Separates scheduler backlog from model speed. High queue time means you are measuring the server, not the model.</t>
        </is>
      </c>
      <c r="F37" s="5" t="inlineStr">
        <is>
          <t>Engine metrics endpoint (vLLM exposes it).</t>
        </is>
      </c>
      <c r="G37" s="5" t="inlineStr">
        <is>
          <t>Optional</t>
        </is>
      </c>
      <c r="H37" s="5" t="inlineStr"/>
    </row>
    <row r="38">
      <c r="A38" s="5" t="inlineStr">
        <is>
          <t>Latency</t>
        </is>
      </c>
      <c r="B38" s="5" t="inlineStr">
        <is>
          <t>Latency under mixed load</t>
        </is>
      </c>
      <c r="C38" s="5" t="inlineStr">
        <is>
          <t>ttft_p95_mixed_ms</t>
        </is>
      </c>
      <c r="D38" s="5" t="inlineStr">
        <is>
          <t>ms</t>
        </is>
      </c>
      <c r="E38" s="5" t="inlineStr">
        <is>
          <t>Short and long requests interleaved. A uniform-shape sweep flatters every model.</t>
        </is>
      </c>
      <c r="F38" s="5" t="inlineStr">
        <is>
          <t>Mixed ISL/OSL workload generator.</t>
        </is>
      </c>
      <c r="G38" s="5" t="inlineStr">
        <is>
          <t>Optional</t>
        </is>
      </c>
      <c r="H38" s="5" t="inlineStr"/>
    </row>
    <row r="39">
      <c r="A39" s="5" t="inlineStr">
        <is>
          <t>Latency</t>
        </is>
      </c>
      <c r="B39" s="5" t="inlineStr">
        <is>
          <t>Latency vs time of day</t>
        </is>
      </c>
      <c r="C39" s="5" t="inlineStr">
        <is>
          <t>ttft_p95_by_hour</t>
        </is>
      </c>
      <c r="D39" s="5" t="inlineStr">
        <is>
          <t>ms</t>
        </is>
      </c>
      <c r="E39" s="5" t="inlineStr">
        <is>
          <t>API only. Shared endpoints vary several-fold across the day.</t>
        </is>
      </c>
      <c r="F39" s="5" t="inlineStr">
        <is>
          <t>Repeat the same probe at 3 times of day.</t>
        </is>
      </c>
      <c r="G39" s="5" t="inlineStr">
        <is>
          <t>Optional</t>
        </is>
      </c>
      <c r="H39" s="5" t="inlineStr"/>
    </row>
    <row r="40">
      <c r="A40" s="5" t="inlineStr">
        <is>
          <t>Latency</t>
        </is>
      </c>
      <c r="B40" s="5" t="inlineStr">
        <is>
          <t>Streaming vs non-streaming</t>
        </is>
      </c>
      <c r="C40" s="5" t="inlineStr">
        <is>
          <t>stream_enabled</t>
        </is>
      </c>
      <c r="D40" s="5" t="inlineStr">
        <is>
          <t>Y/N</t>
        </is>
      </c>
      <c r="E40" s="5" t="inlineStr">
        <is>
          <t>Non-streaming hides TTFT entirely. Record which mode produced the row.</t>
        </is>
      </c>
      <c r="F40" s="5" t="inlineStr">
        <is>
          <t>Client flag.</t>
        </is>
      </c>
      <c r="G40" s="4" t="inlineStr">
        <is>
          <t>Core</t>
        </is>
      </c>
      <c r="H40" s="5" t="inlineStr"/>
    </row>
    <row r="41">
      <c r="A41" s="7" t="inlineStr">
        <is>
          <t>REASONING</t>
        </is>
      </c>
    </row>
    <row r="42">
      <c r="A42" s="5" t="inlineStr">
        <is>
          <t>Reasoning</t>
        </is>
      </c>
      <c r="B42" s="5" t="inlineStr">
        <is>
          <t>Reasoning suite accuracy</t>
        </is>
      </c>
      <c r="C42" s="5" t="inlineStr">
        <is>
          <t>score_mean where capability='reasoning'</t>
        </is>
      </c>
      <c r="D42" s="5" t="inlineStr">
        <is>
          <t>0-1</t>
        </is>
      </c>
      <c r="E42" s="5" t="inlineStr">
        <is>
          <t>Multi-step word problems, algebra, logic.</t>
        </is>
      </c>
      <c r="F42" s="5" t="inlineStr">
        <is>
          <t>prompts/reasoning.jsonl.</t>
        </is>
      </c>
      <c r="G42" s="4" t="inlineStr">
        <is>
          <t>Core</t>
        </is>
      </c>
      <c r="H42" s="5" t="inlineStr"/>
    </row>
    <row r="43">
      <c r="A43" s="5" t="inlineStr">
        <is>
          <t>Reasoning</t>
        </is>
      </c>
      <c r="B43" s="5" t="inlineStr">
        <is>
          <t>Reasoning tokens emitted</t>
        </is>
      </c>
      <c r="C43" s="5" t="inlineStr">
        <is>
          <t>reasoning_tokens_mean</t>
        </is>
      </c>
      <c r="D43" s="5" t="inlineStr">
        <is>
          <t>tokens</t>
        </is>
      </c>
      <c r="E43" s="5" t="inlineStr">
        <is>
          <t>Thinking tokens, counted separately from answer tokens. Drives cost more than anything else on R1/Qwen3/GLM-class models.</t>
        </is>
      </c>
      <c r="F43" s="5" t="inlineStr">
        <is>
          <t>usage.reasoning_tokens, or count inside &lt;think&gt; tags.</t>
        </is>
      </c>
      <c r="G43" s="4" t="inlineStr">
        <is>
          <t>Core</t>
        </is>
      </c>
      <c r="H43" s="8" t="inlineStr">
        <is>
          <t>Check whether either model is a reasoning model before comparing latency.</t>
        </is>
      </c>
    </row>
    <row r="44">
      <c r="A44" s="5" t="inlineStr">
        <is>
          <t>Reasoning</t>
        </is>
      </c>
      <c r="B44" s="5" t="inlineStr">
        <is>
          <t>Accuracy vs thinking budget</t>
        </is>
      </c>
      <c r="C44" s="5" t="inlineStr">
        <is>
          <t>score_at_budget_1k / 4k / 16k</t>
        </is>
      </c>
      <c r="D44" s="5" t="inlineStr">
        <is>
          <t>0-1</t>
        </is>
      </c>
      <c r="E44" s="5" t="inlineStr">
        <is>
          <t>The curve, not one point. Where it flattens is your production max_tokens.</t>
        </is>
      </c>
      <c r="F44" s="5" t="inlineStr">
        <is>
          <t>Re-run the suite at three max_tokens caps.</t>
        </is>
      </c>
      <c r="G44" s="4" t="inlineStr">
        <is>
          <t>Core</t>
        </is>
      </c>
      <c r="H44" s="5" t="inlineStr"/>
    </row>
    <row r="45">
      <c r="A45" s="5" t="inlineStr">
        <is>
          <t>Reasoning</t>
        </is>
      </c>
      <c r="B45" s="5" t="inlineStr">
        <is>
          <t>Overthinking rate</t>
        </is>
      </c>
      <c r="C45" s="5" t="inlineStr">
        <is>
          <t>reasoning_tokens_on_trivial</t>
        </is>
      </c>
      <c r="D45" s="5" t="inlineStr">
        <is>
          <t>tokens</t>
        </is>
      </c>
      <c r="E45" s="5" t="inlineStr">
        <is>
          <t>Thinking tokens spent on questions a 7B answers instantly. Pure waste.</t>
        </is>
      </c>
      <c r="F45" s="5" t="inlineStr">
        <is>
          <t>Reasoning tokens on the easiest suite decile.</t>
        </is>
      </c>
      <c r="G45" s="5" t="inlineStr">
        <is>
          <t>Optional</t>
        </is>
      </c>
      <c r="H45" s="5" t="inlineStr"/>
    </row>
    <row r="46">
      <c r="A46" s="5" t="inlineStr">
        <is>
          <t>Reasoning</t>
        </is>
      </c>
      <c r="B46" s="5" t="inlineStr">
        <is>
          <t>Thinking mode</t>
        </is>
      </c>
      <c r="C46" s="5" t="inlineStr">
        <is>
          <t>thinking_mode</t>
        </is>
      </c>
      <c r="D46" s="5" t="inlineStr">
        <is>
          <t>on/off/auto</t>
        </is>
      </c>
      <c r="E46" s="5" t="inlineStr">
        <is>
          <t>Qwen3 /think, DeepSeek DeepThink, GLM toggle. Score both modes; never compare across them.</t>
        </is>
      </c>
      <c r="F46" s="5" t="inlineStr">
        <is>
          <t>Request parameter or prompt prefix.</t>
        </is>
      </c>
      <c r="G46" s="4" t="inlineStr">
        <is>
          <t>Core</t>
        </is>
      </c>
      <c r="H46" s="5" t="inlineStr"/>
    </row>
    <row r="47">
      <c r="A47" s="5" t="inlineStr">
        <is>
          <t>Reasoning</t>
        </is>
      </c>
      <c r="B47" s="5" t="inlineStr">
        <is>
          <t>Truncation at limit</t>
        </is>
      </c>
      <c r="C47" s="5" t="inlineStr">
        <is>
          <t>hit_max_tokens_pct</t>
        </is>
      </c>
      <c r="D47" s="5" t="inlineStr">
        <is>
          <t>%</t>
        </is>
      </c>
      <c r="E47" s="5" t="inlineStr">
        <is>
          <t>Ran out of budget mid-thought. Produces a confident wrong answer with no error.</t>
        </is>
      </c>
      <c r="F47" s="5" t="inlineStr">
        <is>
          <t>finish_reason == 'length'.</t>
        </is>
      </c>
      <c r="G47" s="4" t="inlineStr">
        <is>
          <t>Core</t>
        </is>
      </c>
      <c r="H47" s="5" t="inlineStr"/>
    </row>
    <row r="48">
      <c r="A48" s="5" t="inlineStr">
        <is>
          <t>Reasoning</t>
        </is>
      </c>
      <c r="B48" s="5" t="inlineStr">
        <is>
          <t>Multi-step task completion</t>
        </is>
      </c>
      <c r="C48" s="5" t="inlineStr">
        <is>
          <t>task_completion_pct</t>
        </is>
      </c>
      <c r="D48" s="5" t="inlineStr">
        <is>
          <t>%</t>
        </is>
      </c>
      <c r="E48" s="5" t="inlineStr">
        <is>
          <t>Full trajectory succeeded, not just the final answer.</t>
        </is>
      </c>
      <c r="F48" s="5" t="inlineStr">
        <is>
          <t>Agentic harness with step checks.</t>
        </is>
      </c>
      <c r="G48" s="5" t="inlineStr">
        <is>
          <t>Optional</t>
        </is>
      </c>
      <c r="H48" s="5" t="inlineStr"/>
    </row>
    <row r="49">
      <c r="A49" s="5" t="inlineStr">
        <is>
          <t>Reasoning</t>
        </is>
      </c>
      <c r="B49" s="5" t="inlineStr">
        <is>
          <t>Step-level correctness</t>
        </is>
      </c>
      <c r="C49" s="5" t="inlineStr">
        <is>
          <t>process_score</t>
        </is>
      </c>
      <c r="D49" s="5" t="inlineStr">
        <is>
          <t>0-1</t>
        </is>
      </c>
      <c r="E49" s="5" t="inlineStr">
        <is>
          <t>Fraction of intermediate steps correct. Catches right-answer-wrong-method.</t>
        </is>
      </c>
      <c r="F49" s="5" t="inlineStr">
        <is>
          <t>Process reward model or manual audit.</t>
        </is>
      </c>
      <c r="G49" s="5" t="inlineStr">
        <is>
          <t>Optional</t>
        </is>
      </c>
      <c r="H49" s="5" t="inlineStr"/>
    </row>
    <row r="50">
      <c r="A50" s="5" t="inlineStr">
        <is>
          <t>Reasoning</t>
        </is>
      </c>
      <c r="B50" s="5" t="inlineStr">
        <is>
          <t>Public reasoning suites</t>
        </is>
      </c>
      <c r="C50" s="5" t="inlineStr">
        <is>
          <t>task_suite</t>
        </is>
      </c>
      <c r="D50" s="5" t="inlineStr">
        <is>
          <t>text</t>
        </is>
      </c>
      <c r="E50" s="5" t="inlineStr">
        <is>
          <t>GPQA-Diamond, AIME, MATH-500, BBH, MuSR, ZebraLogic, LiveBench.</t>
        </is>
      </c>
      <c r="F50" s="5" t="inlineStr">
        <is>
          <t>Record which suite produced the row.</t>
        </is>
      </c>
      <c r="G50" s="5" t="inlineStr">
        <is>
          <t>Optional</t>
        </is>
      </c>
      <c r="H50" s="5" t="inlineStr"/>
    </row>
    <row r="51">
      <c r="A51" s="7" t="inlineStr">
        <is>
          <t>LANGUAGE (ENGLISH)</t>
        </is>
      </c>
    </row>
    <row r="52">
      <c r="A52" s="5" t="inlineStr">
        <is>
          <t>Language (English)</t>
        </is>
      </c>
      <c r="B52" s="5" t="inlineStr">
        <is>
          <t>Per-language score</t>
        </is>
      </c>
      <c r="C52" s="5" t="inlineStr">
        <is>
          <t>language</t>
        </is>
      </c>
      <c r="D52" s="5" t="inlineStr">
        <is>
          <t>text</t>
        </is>
      </c>
      <c r="E52" s="5" t="inlineStr">
        <is>
          <t>Score split by language. Every current prompt is en.</t>
        </is>
      </c>
      <c r="F52" s="5" t="inlineStr">
        <is>
          <t>Split the suite by the language field.</t>
        </is>
      </c>
      <c r="G52" s="4" t="inlineStr">
        <is>
          <t>Core</t>
        </is>
      </c>
      <c r="H52" s="5" t="inlineStr"/>
    </row>
    <row r="53">
      <c r="A53" s="5" t="inlineStr">
        <is>
          <t>Language (English)</t>
        </is>
      </c>
      <c r="B53" s="5" t="inlineStr">
        <is>
          <t>Instruction compliance</t>
        </is>
      </c>
      <c r="C53" s="5" t="inlineStr">
        <is>
          <t>instruction_compliance_pct</t>
        </is>
      </c>
      <c r="D53" s="5" t="inlineStr">
        <is>
          <t>%</t>
        </is>
      </c>
      <c r="E53" s="5" t="inlineStr">
        <is>
          <t>Verifiable-constraint adherence: word counts, bullet counts, forbidden words, casing.</t>
        </is>
      </c>
      <c r="F53" s="5" t="inlineStr">
        <is>
          <t>constraint_check grader.</t>
        </is>
      </c>
      <c r="G53" s="4" t="inlineStr">
        <is>
          <t>Core</t>
        </is>
      </c>
      <c r="H53" s="8" t="inlineStr">
        <is>
          <t>Where a 4B typically breaks before a 31B does.</t>
        </is>
      </c>
    </row>
    <row r="54">
      <c r="A54" s="5" t="inlineStr">
        <is>
          <t>Language (English)</t>
        </is>
      </c>
      <c r="B54" s="5" t="inlineStr">
        <is>
          <t>Grammar error rate</t>
        </is>
      </c>
      <c r="C54" s="5" t="inlineStr">
        <is>
          <t>grammar_errors_per_1k_words</t>
        </is>
      </c>
      <c r="D54" s="5" t="inlineStr">
        <is>
          <t>count</t>
        </is>
      </c>
      <c r="E54" s="5" t="inlineStr">
        <is>
          <t>Fluency floor for customer-facing output.</t>
        </is>
      </c>
      <c r="F54" s="5" t="inlineStr">
        <is>
          <t>LanguageTool or similar, on generated text.</t>
        </is>
      </c>
      <c r="G54" s="5" t="inlineStr">
        <is>
          <t>Optional</t>
        </is>
      </c>
      <c r="H54" s="5" t="inlineStr"/>
    </row>
    <row r="55">
      <c r="A55" s="5" t="inlineStr">
        <is>
          <t>Language (English)</t>
        </is>
      </c>
      <c r="B55" s="5" t="inlineStr">
        <is>
          <t>Readability</t>
        </is>
      </c>
      <c r="C55" s="5" t="inlineStr">
        <is>
          <t>flesch_kincaid_grade</t>
        </is>
      </c>
      <c r="D55" s="5" t="inlineStr">
        <is>
          <t>grade</t>
        </is>
      </c>
      <c r="E55" s="5" t="inlineStr">
        <is>
          <t>Reading level of the output. Matters when a human is the consumer.</t>
        </is>
      </c>
      <c r="F55" s="5" t="inlineStr">
        <is>
          <t>textstat on the response corpus.</t>
        </is>
      </c>
      <c r="G55" s="5" t="inlineStr">
        <is>
          <t>Optional</t>
        </is>
      </c>
      <c r="H55" s="5" t="inlineStr"/>
    </row>
    <row r="56">
      <c r="A56" s="5" t="inlineStr">
        <is>
          <t>Language (English)</t>
        </is>
      </c>
      <c r="B56" s="5" t="inlineStr">
        <is>
          <t>Spelling-variant consistency</t>
        </is>
      </c>
      <c r="C56" s="5" t="inlineStr">
        <is>
          <t>en_variant_drift_pct</t>
        </is>
      </c>
      <c r="D56" s="5" t="inlineStr">
        <is>
          <t>%</t>
        </is>
      </c>
      <c r="E56" s="5" t="inlineStr">
        <is>
          <t>US and UK spellings mixed inside one response.</t>
        </is>
      </c>
      <c r="F56" s="5" t="inlineStr">
        <is>
          <t>Word-list diff over the output.</t>
        </is>
      </c>
      <c r="G56" s="5" t="inlineStr">
        <is>
          <t>Optional</t>
        </is>
      </c>
      <c r="H56" s="5" t="inlineStr"/>
    </row>
    <row r="57">
      <c r="A57" s="5" t="inlineStr">
        <is>
          <t>Language (English)</t>
        </is>
      </c>
      <c r="B57" s="5" t="inlineStr">
        <is>
          <t>Long-form coherence</t>
        </is>
      </c>
      <c r="C57" s="5" t="inlineStr">
        <is>
          <t>coherence_score</t>
        </is>
      </c>
      <c r="D57" s="5" t="inlineStr">
        <is>
          <t>0-1</t>
        </is>
      </c>
      <c r="E57" s="5" t="inlineStr">
        <is>
          <t>Holds a thread over 2k+ token outputs. Needs a judge or a human.</t>
        </is>
      </c>
      <c r="F57" s="5" t="inlineStr">
        <is>
          <t>Rubric scoring on long-form prompts.</t>
        </is>
      </c>
      <c r="G57" s="5" t="inlineStr">
        <is>
          <t>Optional</t>
        </is>
      </c>
      <c r="H57" s="5" t="inlineStr"/>
    </row>
    <row r="58">
      <c r="A58" s="5" t="inlineStr">
        <is>
          <t>Language (English)</t>
        </is>
      </c>
      <c r="B58" s="5" t="inlineStr">
        <is>
          <t>Tone / register adherence</t>
        </is>
      </c>
      <c r="C58" s="5" t="inlineStr">
        <is>
          <t>style_compliance_pct</t>
        </is>
      </c>
      <c r="D58" s="5" t="inlineStr">
        <is>
          <t>%</t>
        </is>
      </c>
      <c r="E58" s="5" t="inlineStr">
        <is>
          <t>Follows 'formal', 'concise', or a brand voice instruction.</t>
        </is>
      </c>
      <c r="F58" s="5" t="inlineStr">
        <is>
          <t>Rubric or constraint checks.</t>
        </is>
      </c>
      <c r="G58" s="5" t="inlineStr">
        <is>
          <t>Optional</t>
        </is>
      </c>
      <c r="H58" s="5" t="inlineStr"/>
    </row>
    <row r="59">
      <c r="A59" s="5" t="inlineStr">
        <is>
          <t>Language (English)</t>
        </is>
      </c>
      <c r="B59" s="5" t="inlineStr">
        <is>
          <t>Non-English token leakage</t>
        </is>
      </c>
      <c r="C59" s="5" t="inlineStr">
        <is>
          <t>stray_token_pct</t>
        </is>
      </c>
      <c r="D59" s="5" t="inlineStr">
        <is>
          <t>%</t>
        </is>
      </c>
      <c r="E59" s="5" t="inlineStr">
        <is>
          <t>CJK characters or stray markdown appearing in English output. Worth a rate given how many candidates are Chinese-lab models.</t>
        </is>
      </c>
      <c r="F59" s="5" t="inlineStr">
        <is>
          <t>Unicode range scan over responses.</t>
        </is>
      </c>
      <c r="G59" s="4" t="inlineStr">
        <is>
          <t>Core</t>
        </is>
      </c>
      <c r="H59" s="5" t="inlineStr"/>
    </row>
    <row r="60">
      <c r="A60" s="5" t="inlineStr">
        <is>
          <t>Language (English)</t>
        </is>
      </c>
      <c r="B60" s="5" t="inlineStr">
        <is>
          <t>Code-switch robustness</t>
        </is>
      </c>
      <c r="C60" s="5" t="inlineStr">
        <is>
          <t>codeswitch_score</t>
        </is>
      </c>
      <c r="D60" s="5" t="inlineStr">
        <is>
          <t>0-1</t>
        </is>
      </c>
      <c r="E60" s="5" t="inlineStr">
        <is>
          <t>Handles non-English fragments embedded in an English prompt.</t>
        </is>
      </c>
      <c r="F60" s="5" t="inlineStr">
        <is>
          <t>Mixed-script prompt subset.</t>
        </is>
      </c>
      <c r="G60" s="5" t="inlineStr">
        <is>
          <t>Optional</t>
        </is>
      </c>
      <c r="H60" s="5" t="inlineStr"/>
    </row>
    <row r="61">
      <c r="A61" s="7" t="inlineStr">
        <is>
          <t>TECHNICAL</t>
        </is>
      </c>
    </row>
    <row r="62">
      <c r="A62" s="5" t="inlineStr">
        <is>
          <t>Technical</t>
        </is>
      </c>
      <c r="B62" s="5" t="inlineStr">
        <is>
          <t>Coding pass@1</t>
        </is>
      </c>
      <c r="C62" s="5" t="inlineStr">
        <is>
          <t>pass_at_1</t>
        </is>
      </c>
      <c r="D62" s="5" t="inlineStr">
        <is>
          <t>%</t>
        </is>
      </c>
      <c r="E62" s="5" t="inlineStr">
        <is>
          <t>Fraction solved first attempt, verified by real unit tests.</t>
        </is>
      </c>
      <c r="F62" s="5" t="inlineStr">
        <is>
          <t>code_exec grader, --allow-code-exec.</t>
        </is>
      </c>
      <c r="G62" s="4" t="inlineStr">
        <is>
          <t>Core</t>
        </is>
      </c>
      <c r="H62" s="8" t="inlineStr">
        <is>
          <t>Largest expected gap of any suite.</t>
        </is>
      </c>
    </row>
    <row r="63">
      <c r="A63" s="5" t="inlineStr">
        <is>
          <t>Technical</t>
        </is>
      </c>
      <c r="B63" s="5" t="inlineStr">
        <is>
          <t>Valid JSON rate</t>
        </is>
      </c>
      <c r="C63" s="5" t="inlineStr">
        <is>
          <t>valid_json_rate_pct</t>
        </is>
      </c>
      <c r="D63" s="5" t="inlineStr">
        <is>
          <t>%</t>
        </is>
      </c>
      <c r="E63" s="5" t="inlineStr">
        <is>
          <t>Parses and validates against the schema, even when wrapped in prose.</t>
        </is>
      </c>
      <c r="F63" s="5" t="inlineStr">
        <is>
          <t>json_schema grader.</t>
        </is>
      </c>
      <c r="G63" s="4" t="inlineStr">
        <is>
          <t>Core</t>
        </is>
      </c>
      <c r="H63" s="8" t="inlineStr">
        <is>
          <t>Where a 4B typically breaks before a 31B does.</t>
        </is>
      </c>
    </row>
    <row r="64">
      <c r="A64" s="5" t="inlineStr">
        <is>
          <t>Technical</t>
        </is>
      </c>
      <c r="B64" s="5" t="inlineStr">
        <is>
          <t>Tool-calling accuracy</t>
        </is>
      </c>
      <c r="C64" s="5" t="inlineStr">
        <is>
          <t>task_name = tool_*</t>
        </is>
      </c>
      <c r="D64" s="5" t="inlineStr">
        <is>
          <t>%</t>
        </is>
      </c>
      <c r="E64" s="5" t="inlineStr">
        <is>
          <t>Right tool chosen, arguments well-formed.</t>
        </is>
      </c>
      <c r="F64" s="5" t="inlineStr">
        <is>
          <t>tool_call grader.</t>
        </is>
      </c>
      <c r="G64" s="4" t="inlineStr">
        <is>
          <t>Core</t>
        </is>
      </c>
      <c r="H64" s="8" t="inlineStr">
        <is>
          <t>Where a 4B typically breaks before a 31B does.</t>
        </is>
      </c>
    </row>
    <row r="65">
      <c r="A65" s="5" t="inlineStr">
        <is>
          <t>Technical</t>
        </is>
      </c>
      <c r="B65" s="5" t="inlineStr">
        <is>
          <t>Long-context retrieval</t>
        </is>
      </c>
      <c r="C65" s="5" t="inlineStr">
        <is>
          <t>task_name = needle_*</t>
        </is>
      </c>
      <c r="D65" s="5" t="inlineStr">
        <is>
          <t>%</t>
        </is>
      </c>
      <c r="E65" s="5" t="inlineStr">
        <is>
          <t>Retrieval accuracy by length and depth. Report the whole curve.</t>
        </is>
      </c>
      <c r="F65" s="5" t="inlineStr">
        <is>
          <t>Generated needle suite, --needle.</t>
        </is>
      </c>
      <c r="G65" s="4" t="inlineStr">
        <is>
          <t>Core</t>
        </is>
      </c>
      <c r="H65" s="5" t="inlineStr"/>
    </row>
    <row r="66">
      <c r="A66" s="5" t="inlineStr">
        <is>
          <t>Technical</t>
        </is>
      </c>
      <c r="B66" s="5" t="inlineStr">
        <is>
          <t>Extraction accuracy</t>
        </is>
      </c>
      <c r="C66" s="5" t="inlineStr">
        <is>
          <t>score_mean where suite='extraction'</t>
        </is>
      </c>
      <c r="D66" s="5" t="inlineStr">
        <is>
          <t>0-1</t>
        </is>
      </c>
      <c r="E66" s="5" t="inlineStr">
        <is>
          <t>Grounded QA over supplied documents.</t>
        </is>
      </c>
      <c r="F66" s="5" t="inlineStr">
        <is>
          <t>prompts/extraction.jsonl.</t>
        </is>
      </c>
      <c r="G66" s="4" t="inlineStr">
        <is>
          <t>Core</t>
        </is>
      </c>
      <c r="H66" s="5" t="inlineStr"/>
    </row>
    <row r="67">
      <c r="A67" s="5" t="inlineStr">
        <is>
          <t>Technical</t>
        </is>
      </c>
      <c r="B67" s="5" t="inlineStr">
        <is>
          <t>Effective context length</t>
        </is>
      </c>
      <c r="C67" s="5" t="inlineStr">
        <is>
          <t>effective_context_tokens</t>
        </is>
      </c>
      <c r="D67" s="5" t="inlineStr">
        <is>
          <t>tokens</t>
        </is>
      </c>
      <c r="E67" s="5" t="inlineStr">
        <is>
          <t>Where retrieval accuracy falls below 85%. Almost never equals the advertised window - Llama 4's 10M claim needs this.</t>
        </is>
      </c>
      <c r="F67" s="5" t="inlineStr">
        <is>
          <t>Needle sweep, find the knee.</t>
        </is>
      </c>
      <c r="G67" s="4" t="inlineStr">
        <is>
          <t>Core</t>
        </is>
      </c>
      <c r="H67" s="8" t="inlineStr">
        <is>
          <t>Both claim 256K. Neither will deliver it. Measure the knee.</t>
        </is>
      </c>
    </row>
    <row r="68">
      <c r="A68" s="5" t="inlineStr">
        <is>
          <t>Technical</t>
        </is>
      </c>
      <c r="B68" s="5" t="inlineStr">
        <is>
          <t>Build / compile success</t>
        </is>
      </c>
      <c r="C68" s="5" t="inlineStr">
        <is>
          <t>build_success_pct</t>
        </is>
      </c>
      <c r="D68" s="5" t="inlineStr">
        <is>
          <t>%</t>
        </is>
      </c>
      <c r="E68" s="5" t="inlineStr">
        <is>
          <t>Generated code compiles or runs at all. Separates 'looks right' from 'works'.</t>
        </is>
      </c>
      <c r="F68" s="5" t="inlineStr">
        <is>
          <t>Subprocess compile step.</t>
        </is>
      </c>
      <c r="G68" s="4" t="inlineStr">
        <is>
          <t>Core</t>
        </is>
      </c>
      <c r="H68" s="5" t="inlineStr"/>
    </row>
    <row r="69">
      <c r="A69" s="5" t="inlineStr">
        <is>
          <t>Technical</t>
        </is>
      </c>
      <c r="B69" s="5" t="inlineStr">
        <is>
          <t>Patch applies cleanly</t>
        </is>
      </c>
      <c r="C69" s="5" t="inlineStr">
        <is>
          <t>patch_apply_pct</t>
        </is>
      </c>
      <c r="D69" s="5" t="inlineStr">
        <is>
          <t>%</t>
        </is>
      </c>
      <c r="E69" s="5" t="inlineStr">
        <is>
          <t>Generated diffs apply without conflict. The real failure mode in agentic coding.</t>
        </is>
      </c>
      <c r="F69" s="5" t="inlineStr">
        <is>
          <t>git apply --check.</t>
        </is>
      </c>
      <c r="G69" s="5" t="inlineStr">
        <is>
          <t>Optional</t>
        </is>
      </c>
      <c r="H69" s="5" t="inlineStr"/>
    </row>
    <row r="70">
      <c r="A70" s="5" t="inlineStr">
        <is>
          <t>Technical</t>
        </is>
      </c>
      <c r="B70" s="5" t="inlineStr">
        <is>
          <t>Repo-level task completion</t>
        </is>
      </c>
      <c r="C70" s="5" t="inlineStr">
        <is>
          <t>swebench_verified_pct</t>
        </is>
      </c>
      <c r="D70" s="5" t="inlineStr">
        <is>
          <t>%</t>
        </is>
      </c>
      <c r="E70" s="5" t="inlineStr">
        <is>
          <t>Multi-file changes that make the tests pass.</t>
        </is>
      </c>
      <c r="F70" s="5" t="inlineStr">
        <is>
          <t>SWE-bench Verified harness.</t>
        </is>
      </c>
      <c r="G70" s="5" t="inlineStr">
        <is>
          <t>Optional</t>
        </is>
      </c>
      <c r="H70" s="5" t="inlineStr"/>
    </row>
    <row r="71">
      <c r="A71" s="5" t="inlineStr">
        <is>
          <t>Technical</t>
        </is>
      </c>
      <c r="B71" s="5" t="inlineStr">
        <is>
          <t>SQL execution accuracy</t>
        </is>
      </c>
      <c r="C71" s="5" t="inlineStr">
        <is>
          <t>exec_match_pct</t>
        </is>
      </c>
      <c r="D71" s="5" t="inlineStr">
        <is>
          <t>%</t>
        </is>
      </c>
      <c r="E71" s="5" t="inlineStr">
        <is>
          <t>Query returns the right rows, not the right-looking string.</t>
        </is>
      </c>
      <c r="F71" s="5" t="inlineStr">
        <is>
          <t>Execute against a fixture DB.</t>
        </is>
      </c>
      <c r="G71" s="5" t="inlineStr">
        <is>
          <t>Optional</t>
        </is>
      </c>
      <c r="H71" s="5" t="inlineStr"/>
    </row>
    <row r="72">
      <c r="A72" s="5" t="inlineStr">
        <is>
          <t>Technical</t>
        </is>
      </c>
      <c r="B72" s="5" t="inlineStr">
        <is>
          <t>Grounding / citation faithfulness</t>
        </is>
      </c>
      <c r="C72" s="5" t="inlineStr">
        <is>
          <t>attribution_precision_pct</t>
        </is>
      </c>
      <c r="D72" s="5" t="inlineStr">
        <is>
          <t>%</t>
        </is>
      </c>
      <c r="E72" s="5" t="inlineStr">
        <is>
          <t>Every claim traceable to the supplied context. The RAG metric that matters.</t>
        </is>
      </c>
      <c r="F72" s="5" t="inlineStr">
        <is>
          <t>Claim-to-source matching.</t>
        </is>
      </c>
      <c r="G72" s="4" t="inlineStr">
        <is>
          <t>Core</t>
        </is>
      </c>
      <c r="H72" s="5" t="inlineStr"/>
    </row>
    <row r="73">
      <c r="A73" s="5" t="inlineStr">
        <is>
          <t>Technical</t>
        </is>
      </c>
      <c r="B73" s="5" t="inlineStr">
        <is>
          <t>Numeric and unit correctness</t>
        </is>
      </c>
      <c r="C73" s="5" t="inlineStr">
        <is>
          <t>unit_error_pct</t>
        </is>
      </c>
      <c r="D73" s="5" t="inlineStr">
        <is>
          <t>%</t>
        </is>
      </c>
      <c r="E73" s="5" t="inlineStr">
        <is>
          <t>Wrong units pass most string graders silently.</t>
        </is>
      </c>
      <c r="F73" s="5" t="inlineStr">
        <is>
          <t>Unit-aware comparison on numeric answers.</t>
        </is>
      </c>
      <c r="G73" s="5" t="inlineStr">
        <is>
          <t>Optional</t>
        </is>
      </c>
      <c r="H73" s="5" t="inlineStr"/>
    </row>
    <row r="74">
      <c r="A74" s="5" t="inlineStr">
        <is>
          <t>Technical</t>
        </is>
      </c>
      <c r="B74" s="5" t="inlineStr">
        <is>
          <t>Internal golden set</t>
        </is>
      </c>
      <c r="C74" s="5" t="inlineStr">
        <is>
          <t>task_suite = 'internal_*'</t>
        </is>
      </c>
      <c r="D74" s="5" t="inlineStr">
        <is>
          <t>0-1</t>
        </is>
      </c>
      <c r="E74" s="5" t="inlineStr">
        <is>
          <t>100-300 real prompts from your own workload, graded deterministically. THIS IS THE ONE THAT DECIDES THE PURCHASE.</t>
        </is>
      </c>
      <c r="F74" s="5" t="inlineStr">
        <is>
          <t>Write them from real tickets/docs; never from public benchmarks.</t>
        </is>
      </c>
      <c r="G74" s="4" t="inlineStr">
        <is>
          <t>Core</t>
        </is>
      </c>
      <c r="H74" s="5" t="inlineStr"/>
    </row>
    <row r="75">
      <c r="A75" s="5" t="inlineStr">
        <is>
          <t>Technical</t>
        </is>
      </c>
      <c r="B75" s="5" t="inlineStr">
        <is>
          <t>Regression vs previous model</t>
        </is>
      </c>
      <c r="C75" s="5" t="inlineStr">
        <is>
          <t>delta_vs_incumbent_pct</t>
        </is>
      </c>
      <c r="D75" s="5" t="inlineStr">
        <is>
          <t>pts</t>
        </is>
      </c>
      <c r="E75" s="5" t="inlineStr">
        <is>
          <t>Change against whatever you run today. A model that wins on average can still regress your top workflow.</t>
        </is>
      </c>
      <c r="F75" s="5" t="inlineStr">
        <is>
          <t>Same golden set, both models.</t>
        </is>
      </c>
      <c r="G75" s="4" t="inlineStr">
        <is>
          <t>Core</t>
        </is>
      </c>
      <c r="H75" s="5" t="inlineStr"/>
    </row>
    <row r="76">
      <c r="A76" s="7" t="inlineStr">
        <is>
          <t>FINE-TUNING</t>
        </is>
      </c>
    </row>
    <row r="77">
      <c r="A77" s="5" t="inlineStr">
        <is>
          <t>Fine-tuning</t>
        </is>
      </c>
      <c r="B77" s="5" t="inlineStr">
        <is>
          <t>License permits FT + redistribution</t>
        </is>
      </c>
      <c r="C77" s="5" t="inlineStr">
        <is>
          <t>ft_license_ok</t>
        </is>
      </c>
      <c r="D77" s="5" t="inlineStr">
        <is>
          <t>Y/N/cond</t>
        </is>
      </c>
      <c r="E77" s="5" t="inlineStr">
        <is>
          <t>Gemma Terms and Cohere CC-BY-NC restrict it; MIT/Apache do not. CHECK THIS FIRST - it eliminates candidates before any benchmark runs.</t>
        </is>
      </c>
      <c r="F77" s="5" t="inlineStr">
        <is>
          <t>Read the LICENSE and the acceptable-use policy.</t>
        </is>
      </c>
      <c r="G77" s="4" t="inlineStr">
        <is>
          <t>Core</t>
        </is>
      </c>
      <c r="H77" s="8" t="inlineStr">
        <is>
          <t>Same licence for both - confirm it once, on the repo.</t>
        </is>
      </c>
    </row>
    <row r="78">
      <c r="A78" s="5" t="inlineStr">
        <is>
          <t>Fine-tuning</t>
        </is>
      </c>
      <c r="B78" s="5" t="inlineStr">
        <is>
          <t>Base checkpoint available</t>
        </is>
      </c>
      <c r="C78" s="5" t="inlineStr">
        <is>
          <t>base_checkpoint_available</t>
        </is>
      </c>
      <c r="D78" s="5" t="inlineStr">
        <is>
          <t>Y/N</t>
        </is>
      </c>
      <c r="E78" s="5" t="inlineStr">
        <is>
          <t>Instruct-only releases are materially harder to tune.</t>
        </is>
      </c>
      <c r="F78" s="5" t="inlineStr">
        <is>
          <t>Hugging Face repo listing.</t>
        </is>
      </c>
      <c r="G78" s="4" t="inlineStr">
        <is>
          <t>Core</t>
        </is>
      </c>
      <c r="H78" s="5" t="inlineStr"/>
    </row>
    <row r="79">
      <c r="A79" s="5" t="inlineStr">
        <is>
          <t>Fine-tuning</t>
        </is>
      </c>
      <c r="B79" s="5" t="inlineStr">
        <is>
          <t>Trainable parameters</t>
        </is>
      </c>
      <c r="C79" s="5" t="inlineStr">
        <is>
          <t>trainable_params_b</t>
        </is>
      </c>
      <c r="D79" s="5" t="inlineStr">
        <is>
          <t>billions</t>
        </is>
      </c>
      <c r="E79" s="5" t="inlineStr">
        <is>
          <t>Full fine-tune vs adapter.</t>
        </is>
      </c>
      <c r="F79" s="5" t="inlineStr">
        <is>
          <t>Model config.</t>
        </is>
      </c>
      <c r="G79" s="4" t="inlineStr">
        <is>
          <t>Core</t>
        </is>
      </c>
      <c r="H79" s="5" t="inlineStr"/>
    </row>
    <row r="80">
      <c r="A80" s="5" t="inlineStr">
        <is>
          <t>Fine-tuning</t>
        </is>
      </c>
      <c r="B80" s="5" t="inlineStr">
        <is>
          <t>LoRA rank / alpha</t>
        </is>
      </c>
      <c r="C80" s="5" t="inlineStr">
        <is>
          <t>lora_rank / lora_alpha</t>
        </is>
      </c>
      <c r="D80" s="5" t="inlineStr">
        <is>
          <t>int</t>
        </is>
      </c>
      <c r="E80" s="5" t="inlineStr">
        <is>
          <t>Adapter capacity.</t>
        </is>
      </c>
      <c r="F80" s="5" t="inlineStr">
        <is>
          <t>Training config.</t>
        </is>
      </c>
      <c r="G80" s="4" t="inlineStr">
        <is>
          <t>Core</t>
        </is>
      </c>
      <c r="H80" s="5" t="inlineStr"/>
    </row>
    <row r="81">
      <c r="A81" s="5" t="inlineStr">
        <is>
          <t>Fine-tuning</t>
        </is>
      </c>
      <c r="B81" s="5" t="inlineStr">
        <is>
          <t>VRAM: full fine-tune</t>
        </is>
      </c>
      <c r="C81" s="5" t="inlineStr">
        <is>
          <t>vram_full_ft_gb</t>
        </is>
      </c>
      <c r="D81" s="5" t="inlineStr">
        <is>
          <t>GB</t>
        </is>
      </c>
      <c r="E81" s="5" t="inlineStr">
        <is>
          <t>Roughly 16-20 bytes per parameter with Adam. Decides whether it fits the DGX at all.</t>
        </is>
      </c>
      <c r="F81" s="5" t="inlineStr">
        <is>
          <t>Measure, or estimate from params.</t>
        </is>
      </c>
      <c r="G81" s="4" t="inlineStr">
        <is>
          <t>Core</t>
        </is>
      </c>
      <c r="H81" s="5" t="inlineStr"/>
    </row>
    <row r="82">
      <c r="A82" s="5" t="inlineStr">
        <is>
          <t>Fine-tuning</t>
        </is>
      </c>
      <c r="B82" s="5" t="inlineStr">
        <is>
          <t>VRAM: LoRA / QLoRA</t>
        </is>
      </c>
      <c r="C82" s="5" t="inlineStr">
        <is>
          <t>vram_lora_gb / vram_qlora_gb</t>
        </is>
      </c>
      <c r="D82" s="5" t="inlineStr">
        <is>
          <t>GB</t>
        </is>
      </c>
      <c r="E82" s="5" t="inlineStr">
        <is>
          <t>The practical path for anything over 30B.</t>
        </is>
      </c>
      <c r="F82" s="5" t="inlineStr">
        <is>
          <t>Measure during a short run.</t>
        </is>
      </c>
      <c r="G82" s="4" t="inlineStr">
        <is>
          <t>Core</t>
        </is>
      </c>
      <c r="H82" s="8" t="inlineStr">
        <is>
          <t>E4B is full-fine-tunable; 31B likely QLoRA only.</t>
        </is>
      </c>
    </row>
    <row r="83">
      <c r="A83" s="5" t="inlineStr">
        <is>
          <t>Fine-tuning</t>
        </is>
      </c>
      <c r="B83" s="5" t="inlineStr">
        <is>
          <t>Training throughput</t>
        </is>
      </c>
      <c r="C83" s="5" t="inlineStr">
        <is>
          <t>train_tokens_per_s</t>
        </is>
      </c>
      <c r="D83" s="5" t="inlineStr">
        <is>
          <t>tok/s</t>
        </is>
      </c>
      <c r="E83" s="5" t="inlineStr">
        <is>
          <t>Sequence-packed tokens per second.</t>
        </is>
      </c>
      <c r="F83" s="5" t="inlineStr">
        <is>
          <t>Trainer logs.</t>
        </is>
      </c>
      <c r="G83" s="4" t="inlineStr">
        <is>
          <t>Core</t>
        </is>
      </c>
      <c r="H83" s="5" t="inlineStr"/>
    </row>
    <row r="84">
      <c r="A84" s="5" t="inlineStr">
        <is>
          <t>Fine-tuning</t>
        </is>
      </c>
      <c r="B84" s="5" t="inlineStr">
        <is>
          <t>Model FLOPs utilisation</t>
        </is>
      </c>
      <c r="C84" s="5" t="inlineStr">
        <is>
          <t>mfu_pct</t>
        </is>
      </c>
      <c r="D84" s="5" t="inlineStr">
        <is>
          <t>%</t>
        </is>
      </c>
      <c r="E84" s="5" t="inlineStr">
        <is>
          <t>How much of the GPU you are actually using. Below 30% means the recipe, not the hardware, is the limit.</t>
        </is>
      </c>
      <c r="F84" s="5" t="inlineStr">
        <is>
          <t>Achieved FLOPs / peak FLOPs.</t>
        </is>
      </c>
      <c r="G84" s="5" t="inlineStr">
        <is>
          <t>Optional</t>
        </is>
      </c>
      <c r="H84" s="5" t="inlineStr"/>
    </row>
    <row r="85">
      <c r="A85" s="5" t="inlineStr">
        <is>
          <t>Fine-tuning</t>
        </is>
      </c>
      <c r="B85" s="5" t="inlineStr">
        <is>
          <t>Epochs to converge</t>
        </is>
      </c>
      <c r="C85" s="5" t="inlineStr">
        <is>
          <t>epochs_to_converge</t>
        </is>
      </c>
      <c r="D85" s="5" t="inlineStr">
        <is>
          <t>count</t>
        </is>
      </c>
      <c r="E85" s="5" t="inlineStr">
        <is>
          <t>Where held-out loss stops improving.</t>
        </is>
      </c>
      <c r="F85" s="5" t="inlineStr">
        <is>
          <t>Eval loss curve.</t>
        </is>
      </c>
      <c r="G85" s="4" t="inlineStr">
        <is>
          <t>Core</t>
        </is>
      </c>
      <c r="H85" s="5" t="inlineStr"/>
    </row>
    <row r="86">
      <c r="A86" s="5" t="inlineStr">
        <is>
          <t>Fine-tuning</t>
        </is>
      </c>
      <c r="B86" s="5" t="inlineStr">
        <is>
          <t>Training GPU-hours and cost</t>
        </is>
      </c>
      <c r="C86" s="5" t="inlineStr">
        <is>
          <t>train_gpu_hours / train_cost_usd</t>
        </is>
      </c>
      <c r="D86" s="5" t="inlineStr">
        <is>
          <t>h / USD</t>
        </is>
      </c>
      <c r="E86" s="5" t="inlineStr">
        <is>
          <t>Priced through Cost_Model at $/GPU-hour.</t>
        </is>
      </c>
      <c r="F86" s="5" t="inlineStr">
        <is>
          <t>Wall clock x GPUs.</t>
        </is>
      </c>
      <c r="G86" s="4" t="inlineStr">
        <is>
          <t>Core</t>
        </is>
      </c>
      <c r="H86" s="5" t="inlineStr"/>
    </row>
    <row r="87">
      <c r="A87" s="5" t="inlineStr">
        <is>
          <t>Fine-tuning</t>
        </is>
      </c>
      <c r="B87" s="5" t="inlineStr">
        <is>
          <t>Data volume needed</t>
        </is>
      </c>
      <c r="C87" s="5" t="inlineStr">
        <is>
          <t>n_train_examples</t>
        </is>
      </c>
      <c r="D87" s="5" t="inlineStr">
        <is>
          <t>count</t>
        </is>
      </c>
      <c r="E87" s="5" t="inlineStr">
        <is>
          <t>Measure at 500 / 2k / 10k. The curve tells you whether more data helps or you have hit the ceiling.</t>
        </is>
      </c>
      <c r="F87" s="5" t="inlineStr">
        <is>
          <t>Train three adapters, compare.</t>
        </is>
      </c>
      <c r="G87" s="4" t="inlineStr">
        <is>
          <t>Core</t>
        </is>
      </c>
      <c r="H87" s="5" t="inlineStr"/>
    </row>
    <row r="88">
      <c r="A88" s="5" t="inlineStr">
        <is>
          <t>Fine-tuning</t>
        </is>
      </c>
      <c r="B88" s="5" t="inlineStr">
        <is>
          <t>Held-out gain</t>
        </is>
      </c>
      <c r="C88" s="5" t="inlineStr">
        <is>
          <t>delta_vs_base_pct</t>
        </is>
      </c>
      <c r="D88" s="5" t="inlineStr">
        <is>
          <t>pts</t>
        </is>
      </c>
      <c r="E88" s="5" t="inlineStr">
        <is>
          <t>Improvement on YOUR task after tuning. The whole point.</t>
        </is>
      </c>
      <c r="F88" s="5" t="inlineStr">
        <is>
          <t>Golden set, base vs tuned.</t>
        </is>
      </c>
      <c r="G88" s="4" t="inlineStr">
        <is>
          <t>Core</t>
        </is>
      </c>
      <c r="H88" s="8" t="inlineStr">
        <is>
          <t>A tuned E4B beating a stock 31B is the outcome to look for.</t>
        </is>
      </c>
    </row>
    <row r="89">
      <c r="A89" s="5" t="inlineStr">
        <is>
          <t>Fine-tuning</t>
        </is>
      </c>
      <c r="B89" s="5" t="inlineStr">
        <is>
          <t>Catastrophic forgetting</t>
        </is>
      </c>
      <c r="C89" s="5" t="inlineStr">
        <is>
          <t>forgetting_delta_pct</t>
        </is>
      </c>
      <c r="D89" s="5" t="inlineStr">
        <is>
          <t>pts</t>
        </is>
      </c>
      <c r="E89" s="5" t="inlineStr">
        <is>
          <t>General-suite score AFTER tuning. The check everyone skips, and the commonest way a fine-tune quietly fails.</t>
        </is>
      </c>
      <c r="F89" s="5" t="inlineStr">
        <is>
          <t>Re-run reasoning + knowledge suites post-FT.</t>
        </is>
      </c>
      <c r="G89" s="4" t="inlineStr">
        <is>
          <t>Core</t>
        </is>
      </c>
      <c r="H89" s="8" t="inlineStr">
        <is>
          <t>Small models forget harder when tuned.</t>
        </is>
      </c>
    </row>
    <row r="90">
      <c r="A90" s="5" t="inlineStr">
        <is>
          <t>Fine-tuning</t>
        </is>
      </c>
      <c r="B90" s="5" t="inlineStr">
        <is>
          <t>Overfit gap</t>
        </is>
      </c>
      <c r="C90" s="5" t="inlineStr">
        <is>
          <t>train_minus_eval_pct</t>
        </is>
      </c>
      <c r="D90" s="5" t="inlineStr">
        <is>
          <t>pts</t>
        </is>
      </c>
      <c r="E90" s="5" t="inlineStr">
        <is>
          <t>Train score minus held-out score.</t>
        </is>
      </c>
      <c r="F90" s="5" t="inlineStr">
        <is>
          <t>Trainer eval.</t>
        </is>
      </c>
      <c r="G90" s="4" t="inlineStr">
        <is>
          <t>Core</t>
        </is>
      </c>
      <c r="H90" s="5" t="inlineStr"/>
    </row>
    <row r="91">
      <c r="A91" s="5" t="inlineStr">
        <is>
          <t>Fine-tuning</t>
        </is>
      </c>
      <c r="B91" s="5" t="inlineStr">
        <is>
          <t>Multi-LoRA serving support</t>
        </is>
      </c>
      <c r="C91" s="5" t="inlineStr">
        <is>
          <t>multi_lora_supported</t>
        </is>
      </c>
      <c r="D91" s="5" t="inlineStr">
        <is>
          <t>Y/N</t>
        </is>
      </c>
      <c r="E91" s="5" t="inlineStr">
        <is>
          <t>vLLM can serve many adapters against one base copy. Large cost lever if you need per-tenant models.</t>
        </is>
      </c>
      <c r="F91" s="5" t="inlineStr">
        <is>
          <t>Engine docs / test load.</t>
        </is>
      </c>
      <c r="G91" s="4" t="inlineStr">
        <is>
          <t>Core</t>
        </is>
      </c>
      <c r="H91" s="5" t="inlineStr"/>
    </row>
    <row r="92">
      <c r="A92" s="5" t="inlineStr">
        <is>
          <t>Fine-tuning</t>
        </is>
      </c>
      <c r="B92" s="5" t="inlineStr">
        <is>
          <t>Merged-model quality delta</t>
        </is>
      </c>
      <c r="C92" s="5" t="inlineStr">
        <is>
          <t>merge_delta_pct</t>
        </is>
      </c>
      <c r="D92" s="5" t="inlineStr">
        <is>
          <t>pts</t>
        </is>
      </c>
      <c r="E92" s="5" t="inlineStr">
        <is>
          <t>Merging the adapter back into the base sometimes loses a point or two.</t>
        </is>
      </c>
      <c r="F92" s="5" t="inlineStr">
        <is>
          <t>Score adapter vs merged.</t>
        </is>
      </c>
      <c r="G92" s="5" t="inlineStr">
        <is>
          <t>Optional</t>
        </is>
      </c>
      <c r="H92" s="5" t="inlineStr"/>
    </row>
    <row r="93">
      <c r="A93" s="5" t="inlineStr">
        <is>
          <t>Fine-tuning</t>
        </is>
      </c>
      <c r="B93" s="5" t="inlineStr">
        <is>
          <t>Adapter / checkpoint size</t>
        </is>
      </c>
      <c r="C93" s="5" t="inlineStr">
        <is>
          <t>adapter_size_mb</t>
        </is>
      </c>
      <c r="D93" s="5" t="inlineStr">
        <is>
          <t>MB</t>
        </is>
      </c>
      <c r="E93" s="5" t="inlineStr">
        <is>
          <t>Storage and deployment footprint.</t>
        </is>
      </c>
      <c r="F93" s="5" t="inlineStr">
        <is>
          <t>File size.</t>
        </is>
      </c>
      <c r="G93" s="5" t="inlineStr">
        <is>
          <t>Optional</t>
        </is>
      </c>
      <c r="H93" s="5" t="inlineStr"/>
    </row>
    <row r="94">
      <c r="A94" s="5" t="inlineStr">
        <is>
          <t>Fine-tuning</t>
        </is>
      </c>
      <c r="B94" s="5" t="inlineStr">
        <is>
          <t>Chat-template stability</t>
        </is>
      </c>
      <c r="C94" s="5" t="inlineStr">
        <is>
          <t>chat_template_version</t>
        </is>
      </c>
      <c r="D94" s="5" t="inlineStr">
        <is>
          <t>text</t>
        </is>
      </c>
      <c r="E94" s="5" t="inlineStr">
        <is>
          <t>Template drift between releases silently breaks tuned models.</t>
        </is>
      </c>
      <c r="F94" s="5" t="inlineStr">
        <is>
          <t>tokenizer_config.json chat_template hash.</t>
        </is>
      </c>
      <c r="G94" s="4" t="inlineStr">
        <is>
          <t>Core</t>
        </is>
      </c>
      <c r="H94" s="8" t="inlineStr">
        <is>
          <t>Shared family: use ONE template for both or the comparison is invalid.</t>
        </is>
      </c>
    </row>
    <row r="95">
      <c r="A95" s="5" t="inlineStr">
        <is>
          <t>Fine-tuning</t>
        </is>
      </c>
      <c r="B95" s="5" t="inlineStr">
        <is>
          <t>Tokenizer / vocab size</t>
        </is>
      </c>
      <c r="C95" s="5" t="inlineStr">
        <is>
          <t>vocab_size</t>
        </is>
      </c>
      <c r="D95" s="5" t="inlineStr">
        <is>
          <t>count</t>
        </is>
      </c>
      <c r="E95" s="5" t="inlineStr">
        <is>
          <t>Drives how many tokens your domain vocabulary costs.</t>
        </is>
      </c>
      <c r="F95" s="5" t="inlineStr">
        <is>
          <t>tokenizer.json.</t>
        </is>
      </c>
      <c r="G95" s="5" t="inlineStr">
        <is>
          <t>Optional</t>
        </is>
      </c>
      <c r="H95" s="8" t="inlineStr">
        <is>
          <t>Shared tokenizer - lets you compare token counts honestly.</t>
        </is>
      </c>
    </row>
    <row r="96">
      <c r="A96" s="5" t="inlineStr">
        <is>
          <t>Fine-tuning</t>
        </is>
      </c>
      <c r="B96" s="5" t="inlineStr">
        <is>
          <t>Documented recipe exists</t>
        </is>
      </c>
      <c r="C96" s="5" t="inlineStr">
        <is>
          <t>ft_recipe</t>
        </is>
      </c>
      <c r="D96" s="5" t="inlineStr">
        <is>
          <t>text</t>
        </is>
      </c>
      <c r="E96" s="5" t="inlineStr">
        <is>
          <t>NeMo / HF TRL / Unsloth / axolotl support. Maturity varies enormously by lab.</t>
        </is>
      </c>
      <c r="F96" s="5" t="inlineStr">
        <is>
          <t>Vendor docs and community repos.</t>
        </is>
      </c>
      <c r="G96" s="4" t="inlineStr">
        <is>
          <t>Core</t>
        </is>
      </c>
      <c r="H96" s="5" t="inlineStr"/>
    </row>
    <row r="97">
      <c r="A97" s="5" t="inlineStr">
        <is>
          <t>Fine-tuning</t>
        </is>
      </c>
      <c r="B97" s="5" t="inlineStr">
        <is>
          <t>Preference tuning support</t>
        </is>
      </c>
      <c r="C97" s="5" t="inlineStr">
        <is>
          <t>dpo_supported</t>
        </is>
      </c>
      <c r="D97" s="5" t="inlineStr">
        <is>
          <t>Y/N</t>
        </is>
      </c>
      <c r="E97" s="5" t="inlineStr">
        <is>
          <t>If you need DPO/RLHF rather than plain SFT.</t>
        </is>
      </c>
      <c r="F97" s="5" t="inlineStr">
        <is>
          <t>Recipe availability.</t>
        </is>
      </c>
      <c r="G97" s="5" t="inlineStr">
        <is>
          <t>Optional</t>
        </is>
      </c>
      <c r="H97" s="5" t="inlineStr"/>
    </row>
    <row r="98">
      <c r="A98" s="5" t="inlineStr">
        <is>
          <t>Fine-tuning</t>
        </is>
      </c>
      <c r="B98" s="5" t="inlineStr">
        <is>
          <t>Training seed / reproducibility</t>
        </is>
      </c>
      <c r="C98" s="5" t="inlineStr">
        <is>
          <t>train_seed</t>
        </is>
      </c>
      <c r="D98" s="5" t="inlineStr">
        <is>
          <t>int</t>
        </is>
      </c>
      <c r="E98" s="5" t="inlineStr">
        <is>
          <t>Two runs at the same seed should land within noise.</t>
        </is>
      </c>
      <c r="F98" s="5" t="inlineStr">
        <is>
          <t>Trainer config.</t>
        </is>
      </c>
      <c r="G98" s="4" t="inlineStr">
        <is>
          <t>Core</t>
        </is>
      </c>
      <c r="H98" s="5" t="inlineStr"/>
    </row>
    <row r="99">
      <c r="A99" s="7" t="inlineStr">
        <is>
          <t>SAFETY</t>
        </is>
      </c>
    </row>
    <row r="100">
      <c r="A100" s="5" t="inlineStr">
        <is>
          <t>Safety</t>
        </is>
      </c>
      <c r="B100" s="5" t="inlineStr">
        <is>
          <t>Refusal rate on benign prompts</t>
        </is>
      </c>
      <c r="C100" s="5" t="inlineStr">
        <is>
          <t>refusal_rate_pct</t>
        </is>
      </c>
      <c r="D100" s="5" t="inlineStr">
        <is>
          <t>%</t>
        </is>
      </c>
      <c r="E100" s="5" t="inlineStr">
        <is>
          <t>The over-refusal tax. Every prompt in the refusal suite is benign, so a refusal is a false positive.</t>
        </is>
      </c>
      <c r="F100" s="5" t="inlineStr">
        <is>
          <t>refusal_check grader.</t>
        </is>
      </c>
      <c r="G100" s="4" t="inlineStr">
        <is>
          <t>Core</t>
        </is>
      </c>
      <c r="H100" s="8" t="inlineStr">
        <is>
          <t>Same safety tuning across the family - differences are size effects.</t>
        </is>
      </c>
    </row>
    <row r="101">
      <c r="A101" s="5" t="inlineStr">
        <is>
          <t>Safety</t>
        </is>
      </c>
      <c r="B101" s="5" t="inlineStr">
        <is>
          <t>Jailbreak resistance</t>
        </is>
      </c>
      <c r="C101" s="5" t="inlineStr">
        <is>
          <t>jailbreak_success_pct</t>
        </is>
      </c>
      <c r="D101" s="5" t="inlineStr">
        <is>
          <t>%</t>
        </is>
      </c>
      <c r="E101" s="5" t="inlineStr">
        <is>
          <t>Fraction of adversarial prompts that succeed. Lower is better.</t>
        </is>
      </c>
      <c r="F101" s="5" t="inlineStr">
        <is>
          <t>Public red-team set, held privately.</t>
        </is>
      </c>
      <c r="G101" s="4" t="inlineStr">
        <is>
          <t>Core</t>
        </is>
      </c>
      <c r="H101" s="5" t="inlineStr"/>
    </row>
    <row r="102">
      <c r="A102" s="5" t="inlineStr">
        <is>
          <t>Safety</t>
        </is>
      </c>
      <c r="B102" s="5" t="inlineStr">
        <is>
          <t>Prompt-injection resistance</t>
        </is>
      </c>
      <c r="C102" s="5" t="inlineStr">
        <is>
          <t>injection_success_pct</t>
        </is>
      </c>
      <c r="D102" s="5" t="inlineStr">
        <is>
          <t>%</t>
        </is>
      </c>
      <c r="E102" s="5" t="inlineStr">
        <is>
          <t>Instructions embedded in retrieved documents that the model obeys. Critical for any RAG or agent deployment.</t>
        </is>
      </c>
      <c r="F102" s="5" t="inlineStr">
        <is>
          <t>Injected-document test set.</t>
        </is>
      </c>
      <c r="G102" s="4" t="inlineStr">
        <is>
          <t>Core</t>
        </is>
      </c>
      <c r="H102" s="8" t="inlineStr">
        <is>
          <t>Small models are materially weaker here.</t>
        </is>
      </c>
    </row>
    <row r="103">
      <c r="A103" s="5" t="inlineStr">
        <is>
          <t>Safety</t>
        </is>
      </c>
      <c r="B103" s="5" t="inlineStr">
        <is>
          <t>PII leakage rate</t>
        </is>
      </c>
      <c r="C103" s="5" t="inlineStr">
        <is>
          <t>pii_leak_pct</t>
        </is>
      </c>
      <c r="D103" s="5" t="inlineStr">
        <is>
          <t>%</t>
        </is>
      </c>
      <c r="E103" s="5" t="inlineStr">
        <is>
          <t>Emits personal data from context when asked not to, or memorised from training.</t>
        </is>
      </c>
      <c r="F103" s="5" t="inlineStr">
        <is>
          <t>Canary PII in context + extraction attempts.</t>
        </is>
      </c>
      <c r="G103" s="5" t="inlineStr">
        <is>
          <t>Optional</t>
        </is>
      </c>
      <c r="H103" s="5" t="inlineStr"/>
    </row>
    <row r="104">
      <c r="A104" s="5" t="inlineStr">
        <is>
          <t>Safety</t>
        </is>
      </c>
      <c r="B104" s="5" t="inlineStr">
        <is>
          <t>Toxicity rate</t>
        </is>
      </c>
      <c r="C104" s="5" t="inlineStr">
        <is>
          <t>toxicity_pct</t>
        </is>
      </c>
      <c r="D104" s="5" t="inlineStr">
        <is>
          <t>%</t>
        </is>
      </c>
      <c r="E104" s="5" t="inlineStr">
        <is>
          <t>Unsafe output on neutral prompts.</t>
        </is>
      </c>
      <c r="F104" s="5" t="inlineStr">
        <is>
          <t>Classifier over responses.</t>
        </is>
      </c>
      <c r="G104" s="5" t="inlineStr">
        <is>
          <t>Optional</t>
        </is>
      </c>
      <c r="H104" s="5" t="inlineStr"/>
    </row>
    <row r="105">
      <c r="A105" s="7" t="inlineStr">
        <is>
          <t>COST</t>
        </is>
      </c>
    </row>
    <row r="106">
      <c r="A106" s="5" t="inlineStr">
        <is>
          <t>Cost</t>
        </is>
      </c>
      <c r="B106" s="5" t="inlineStr">
        <is>
          <t>Cost per 1M output tokens</t>
        </is>
      </c>
      <c r="C106" s="5" t="inlineStr">
        <is>
          <t>cost_per_1m_out_usd</t>
        </is>
      </c>
      <c r="D106" s="5" t="inlineStr">
        <is>
          <t>USD</t>
        </is>
      </c>
      <c r="E106" s="5" t="inlineStr">
        <is>
          <t>GPU-hours consumed priced through Cost_Model.</t>
        </is>
      </c>
      <c r="F106" s="5" t="inlineStr">
        <is>
          <t>Formula.</t>
        </is>
      </c>
      <c r="G106" s="4" t="inlineStr">
        <is>
          <t>Core</t>
        </is>
      </c>
      <c r="H106" s="5" t="inlineStr"/>
    </row>
    <row r="107">
      <c r="A107" s="5" t="inlineStr">
        <is>
          <t>Cost</t>
        </is>
      </c>
      <c r="B107" s="5" t="inlineStr">
        <is>
          <t>Derived $/GPU-hour</t>
        </is>
      </c>
      <c r="C107" s="5" t="inlineStr">
        <is>
          <t>cost_per_gpu_hour_usd</t>
        </is>
      </c>
      <c r="D107" s="5" t="inlineStr">
        <is>
          <t>USD</t>
        </is>
      </c>
      <c r="E107" s="5" t="inlineStr">
        <is>
          <t>All-in amortised cost of one GPU for one hour.</t>
        </is>
      </c>
      <c r="F107" s="5" t="inlineStr">
        <is>
          <t>Formula from capex + power.</t>
        </is>
      </c>
      <c r="G107" s="4" t="inlineStr">
        <is>
          <t>Core</t>
        </is>
      </c>
      <c r="H107" s="5" t="inlineStr"/>
    </row>
    <row r="108">
      <c r="A108" s="5" t="inlineStr">
        <is>
          <t>Cost</t>
        </is>
      </c>
      <c r="B108" s="5" t="inlineStr">
        <is>
          <t>System capex</t>
        </is>
      </c>
      <c r="C108" s="5" t="inlineStr">
        <is>
          <t>system_capex_usd</t>
        </is>
      </c>
      <c r="D108" s="5" t="inlineStr">
        <is>
          <t>USD</t>
        </is>
      </c>
      <c r="E108" s="5" t="inlineStr">
        <is>
          <t>Purchase price of the DGX system.</t>
        </is>
      </c>
      <c r="F108" s="5" t="inlineStr">
        <is>
          <t>Invoice.</t>
        </is>
      </c>
      <c r="G108" s="4" t="inlineStr">
        <is>
          <t>Core</t>
        </is>
      </c>
      <c r="H108" s="5" t="inlineStr"/>
    </row>
    <row r="109">
      <c r="A109" s="5" t="inlineStr">
        <is>
          <t>Cost</t>
        </is>
      </c>
      <c r="B109" s="5" t="inlineStr">
        <is>
          <t>Amortisation period</t>
        </is>
      </c>
      <c r="C109" s="5" t="inlineStr">
        <is>
          <t>amortisation_years</t>
        </is>
      </c>
      <c r="D109" s="5" t="inlineStr">
        <is>
          <t>years</t>
        </is>
      </c>
      <c r="E109" s="5" t="inlineStr">
        <is>
          <t>Depreciation window.</t>
        </is>
      </c>
      <c r="F109" s="5" t="inlineStr">
        <is>
          <t>Finance policy.</t>
        </is>
      </c>
      <c r="G109" s="4" t="inlineStr">
        <is>
          <t>Core</t>
        </is>
      </c>
      <c r="H109" s="5" t="inlineStr"/>
    </row>
    <row r="110">
      <c r="A110" s="5" t="inlineStr">
        <is>
          <t>Cost</t>
        </is>
      </c>
      <c r="B110" s="5" t="inlineStr">
        <is>
          <t>Annual utilisation</t>
        </is>
      </c>
      <c r="C110" s="5" t="inlineStr">
        <is>
          <t>annual_utilisation</t>
        </is>
      </c>
      <c r="D110" s="5" t="inlineStr">
        <is>
          <t>%</t>
        </is>
      </c>
      <c r="E110" s="5" t="inlineStr">
        <is>
          <t>Fraction of the year the GPUs actually serve.</t>
        </is>
      </c>
      <c r="F110" s="5" t="inlineStr">
        <is>
          <t>Estimate or measure.</t>
        </is>
      </c>
      <c r="G110" s="4" t="inlineStr">
        <is>
          <t>Core</t>
        </is>
      </c>
      <c r="H110" s="5" t="inlineStr"/>
    </row>
    <row r="111">
      <c r="A111" s="5" t="inlineStr">
        <is>
          <t>Cost</t>
        </is>
      </c>
      <c r="B111" s="5" t="inlineStr">
        <is>
          <t>System power draw</t>
        </is>
      </c>
      <c r="C111" s="5" t="inlineStr">
        <is>
          <t>system_power_kw</t>
        </is>
      </c>
      <c r="D111" s="5" t="inlineStr">
        <is>
          <t>kW</t>
        </is>
      </c>
      <c r="E111" s="5" t="inlineStr">
        <is>
          <t>Sustained wall power under load.</t>
        </is>
      </c>
      <c r="F111" s="5" t="inlineStr">
        <is>
          <t>PDU reading.</t>
        </is>
      </c>
      <c r="G111" s="4" t="inlineStr">
        <is>
          <t>Core</t>
        </is>
      </c>
      <c r="H111" s="5" t="inlineStr"/>
    </row>
    <row r="112">
      <c r="A112" s="5" t="inlineStr">
        <is>
          <t>Cost</t>
        </is>
      </c>
      <c r="B112" s="5" t="inlineStr">
        <is>
          <t>PUE</t>
        </is>
      </c>
      <c r="C112" s="5" t="inlineStr">
        <is>
          <t>pue</t>
        </is>
      </c>
      <c r="D112" s="5" t="inlineStr">
        <is>
          <t>ratio</t>
        </is>
      </c>
      <c r="E112" s="5" t="inlineStr">
        <is>
          <t>Datacentre power usage effectiveness.</t>
        </is>
      </c>
      <c r="F112" s="5" t="inlineStr">
        <is>
          <t>Facilities.</t>
        </is>
      </c>
      <c r="G112" s="4" t="inlineStr">
        <is>
          <t>Core</t>
        </is>
      </c>
      <c r="H112" s="5" t="inlineStr"/>
    </row>
    <row r="113">
      <c r="A113" s="5" t="inlineStr">
        <is>
          <t>Cost</t>
        </is>
      </c>
      <c r="B113" s="5" t="inlineStr">
        <is>
          <t>Electricity price</t>
        </is>
      </c>
      <c r="C113" s="5" t="inlineStr">
        <is>
          <t>electricity_usd_per_kwh</t>
        </is>
      </c>
      <c r="D113" s="5" t="inlineStr">
        <is>
          <t>USD/kWh</t>
        </is>
      </c>
      <c r="E113" s="5" t="inlineStr">
        <is>
          <t>Blended tariff.</t>
        </is>
      </c>
      <c r="F113" s="5" t="inlineStr">
        <is>
          <t>Utility bill.</t>
        </is>
      </c>
      <c r="G113" s="4" t="inlineStr">
        <is>
          <t>Core</t>
        </is>
      </c>
      <c r="H113" s="5" t="inlineStr"/>
    </row>
    <row r="114">
      <c r="A114" s="5" t="inlineStr">
        <is>
          <t>Cost</t>
        </is>
      </c>
      <c r="B114" s="5" t="inlineStr">
        <is>
          <t>Break-even vs API</t>
        </is>
      </c>
      <c r="C114" s="5" t="inlineStr">
        <is>
          <t>-</t>
        </is>
      </c>
      <c r="D114" s="5" t="inlineStr">
        <is>
          <t>-</t>
        </is>
      </c>
      <c r="E114" s="5" t="inlineStr">
        <is>
          <t>Self-hosted $/1M against the API price of the closest model.</t>
        </is>
      </c>
      <c r="F114" s="5" t="inlineStr">
        <is>
          <t>Manual comparison.</t>
        </is>
      </c>
      <c r="G114" s="5" t="inlineStr">
        <is>
          <t>Optional</t>
        </is>
      </c>
      <c r="H114" s="5" t="inlineStr"/>
    </row>
    <row r="115">
      <c r="A115" s="5" t="inlineStr">
        <is>
          <t>Cost</t>
        </is>
      </c>
      <c r="B115" s="5" t="inlineStr">
        <is>
          <t>API list price</t>
        </is>
      </c>
      <c r="C115" s="5" t="inlineStr">
        <is>
          <t>api_price_in_usd_per_m / api_price_out_usd_per_m</t>
        </is>
      </c>
      <c r="D115" s="5" t="inlineStr">
        <is>
          <t>USD/M</t>
        </is>
      </c>
      <c r="E115" s="5" t="inlineStr">
        <is>
          <t>Published per-million rates. Already populated for every model in the Non-Chinese and Chinese sheets of this workbook.</t>
        </is>
      </c>
      <c r="F115" s="5" t="inlineStr">
        <is>
          <t>Provider pricing page.</t>
        </is>
      </c>
      <c r="G115" s="4" t="inlineStr">
        <is>
          <t>Core</t>
        </is>
      </c>
      <c r="H115" s="5" t="inlineStr"/>
    </row>
    <row r="116">
      <c r="A116" s="5" t="inlineStr">
        <is>
          <t>Cost</t>
        </is>
      </c>
      <c r="B116" s="5" t="inlineStr">
        <is>
          <t>Cost per completed task</t>
        </is>
      </c>
      <c r="C116" s="5" t="inlineStr">
        <is>
          <t>cost_per_task_usd</t>
        </is>
      </c>
      <c r="D116" s="5" t="inlineStr">
        <is>
          <t>USD</t>
        </is>
      </c>
      <c r="E116" s="5" t="inlineStr">
        <is>
          <t>Price x tokens actually consumed on YOUR workload. A cheap model that needs 3x the tokens is not cheap.</t>
        </is>
      </c>
      <c r="F116" s="5" t="inlineStr">
        <is>
          <t>avg tokens x price, per suite.</t>
        </is>
      </c>
      <c r="G116" s="4" t="inlineStr">
        <is>
          <t>Core</t>
        </is>
      </c>
      <c r="H116" s="8" t="inlineStr">
        <is>
          <t>The number that settles 31B vs E4B.</t>
        </is>
      </c>
    </row>
    <row r="117">
      <c r="A117" s="5" t="inlineStr">
        <is>
          <t>Cost</t>
        </is>
      </c>
      <c r="B117" s="5" t="inlineStr">
        <is>
          <t>Reasoning-token cost share</t>
        </is>
      </c>
      <c r="C117" s="5" t="inlineStr">
        <is>
          <t>reasoning_cost_pct</t>
        </is>
      </c>
      <c r="D117" s="5" t="inlineStr">
        <is>
          <t>%</t>
        </is>
      </c>
      <c r="E117" s="5" t="inlineStr">
        <is>
          <t>Share of the bill spent on thinking tokens the user never sees.</t>
        </is>
      </c>
      <c r="F117" s="5" t="inlineStr">
        <is>
          <t>reasoning_tokens x output price.</t>
        </is>
      </c>
      <c r="G117" s="5" t="inlineStr">
        <is>
          <t>Optional</t>
        </is>
      </c>
      <c r="H117" s="5" t="inlineStr"/>
    </row>
    <row r="118">
      <c r="A118" s="7" t="inlineStr">
        <is>
          <t>RESOURCE</t>
        </is>
      </c>
    </row>
    <row r="119">
      <c r="A119" s="5" t="inlineStr">
        <is>
          <t>Resource</t>
        </is>
      </c>
      <c r="B119" s="5" t="inlineStr">
        <is>
          <t>Peak GPU memory</t>
        </is>
      </c>
      <c r="C119" s="5" t="inlineStr">
        <is>
          <t>gpu_mem_peak_gb</t>
        </is>
      </c>
      <c r="D119" s="5" t="inlineStr">
        <is>
          <t>GB</t>
        </is>
      </c>
      <c r="E119" s="5" t="inlineStr">
        <is>
          <t>Weights + KV cache + activations. Sets max concurrency.</t>
        </is>
      </c>
      <c r="F119" s="5" t="inlineStr">
        <is>
          <t>nvidia-smi / DCGM peak sample.</t>
        </is>
      </c>
      <c r="G119" s="4" t="inlineStr">
        <is>
          <t>Core</t>
        </is>
      </c>
      <c r="H119" s="8" t="inlineStr">
        <is>
          <t>Decides whether 31B fits your box at all.</t>
        </is>
      </c>
    </row>
    <row r="120">
      <c r="A120" s="5" t="inlineStr">
        <is>
          <t>Resource</t>
        </is>
      </c>
      <c r="B120" s="5" t="inlineStr">
        <is>
          <t>Avg GPU utilisation</t>
        </is>
      </c>
      <c r="C120" s="5" t="inlineStr">
        <is>
          <t>gpu_util_avg_pct</t>
        </is>
      </c>
      <c r="D120" s="5" t="inlineStr">
        <is>
          <t>%</t>
        </is>
      </c>
      <c r="E120" s="5" t="inlineStr">
        <is>
          <t>Low means client-bound or memory-bound, not compute-bound.</t>
        </is>
      </c>
      <c r="F120" s="5" t="inlineStr">
        <is>
          <t>DCGM / nvidia-smi dmon.</t>
        </is>
      </c>
      <c r="G120" s="4" t="inlineStr">
        <is>
          <t>Core</t>
        </is>
      </c>
      <c r="H120" s="5" t="inlineStr"/>
    </row>
    <row r="121">
      <c r="A121" s="5" t="inlineStr">
        <is>
          <t>Resource</t>
        </is>
      </c>
      <c r="B121" s="5" t="inlineStr">
        <is>
          <t>Avg / peak power</t>
        </is>
      </c>
      <c r="C121" s="5" t="inlineStr">
        <is>
          <t>gpu_power_avg_w / peak_w</t>
        </is>
      </c>
      <c r="D121" s="5" t="inlineStr">
        <is>
          <t>W</t>
        </is>
      </c>
      <c r="E121" s="5" t="inlineStr">
        <is>
          <t>Board power summed over GPUs actually in use.</t>
        </is>
      </c>
      <c r="F121" s="5" t="inlineStr">
        <is>
          <t>DCGM power usage.</t>
        </is>
      </c>
      <c r="G121" s="4" t="inlineStr">
        <is>
          <t>Core</t>
        </is>
      </c>
      <c r="H121" s="5" t="inlineStr"/>
    </row>
    <row r="122">
      <c r="A122" s="5" t="inlineStr">
        <is>
          <t>Resource</t>
        </is>
      </c>
      <c r="B122" s="5" t="inlineStr">
        <is>
          <t>Energy consumed</t>
        </is>
      </c>
      <c r="C122" s="5" t="inlineStr">
        <is>
          <t>energy_wh</t>
        </is>
      </c>
      <c r="D122" s="5" t="inlineStr">
        <is>
          <t>Wh</t>
        </is>
      </c>
      <c r="E122" s="5" t="inlineStr">
        <is>
          <t>avg power x duration.</t>
        </is>
      </c>
      <c r="F122" s="5" t="inlineStr">
        <is>
          <t>Formula.</t>
        </is>
      </c>
      <c r="G122" s="4" t="inlineStr">
        <is>
          <t>Core</t>
        </is>
      </c>
      <c r="H122" s="5" t="inlineStr"/>
    </row>
    <row r="123">
      <c r="A123" s="5" t="inlineStr">
        <is>
          <t>Resource</t>
        </is>
      </c>
      <c r="B123" s="5" t="inlineStr">
        <is>
          <t>Tokens per joule</t>
        </is>
      </c>
      <c r="C123" s="5" t="inlineStr">
        <is>
          <t>tokens_per_joule</t>
        </is>
      </c>
      <c r="D123" s="5" t="inlineStr">
        <is>
          <t>tok/J</t>
        </is>
      </c>
      <c r="E123" s="5" t="inlineStr">
        <is>
          <t>Energy efficiency.</t>
        </is>
      </c>
      <c r="F123" s="5" t="inlineStr">
        <is>
          <t>Formula.</t>
        </is>
      </c>
      <c r="G123" s="4" t="inlineStr">
        <is>
          <t>Core</t>
        </is>
      </c>
      <c r="H123" s="5" t="inlineStr"/>
    </row>
    <row r="124">
      <c r="A124" s="5" t="inlineStr">
        <is>
          <t>Resource</t>
        </is>
      </c>
      <c r="B124" s="5" t="inlineStr">
        <is>
          <t>Energy per 1k tokens</t>
        </is>
      </c>
      <c r="C124" s="5" t="inlineStr">
        <is>
          <t>energy_per_1k_out_tokens_wh</t>
        </is>
      </c>
      <c r="D124" s="5" t="inlineStr">
        <is>
          <t>Wh</t>
        </is>
      </c>
      <c r="E124" s="5" t="inlineStr">
        <is>
          <t>Sustainability reporting figure.</t>
        </is>
      </c>
      <c r="F124" s="5" t="inlineStr">
        <is>
          <t>Formula.</t>
        </is>
      </c>
      <c r="G124" s="5" t="inlineStr">
        <is>
          <t>Optional</t>
        </is>
      </c>
      <c r="H124" s="5" t="inlineStr"/>
    </row>
    <row r="125">
      <c r="A125" s="5" t="inlineStr">
        <is>
          <t>Resource</t>
        </is>
      </c>
      <c r="B125" s="5" t="inlineStr">
        <is>
          <t>Prefix cache hit rate</t>
        </is>
      </c>
      <c r="C125" s="5" t="inlineStr">
        <is>
          <t>prefix_cache_hit_pct</t>
        </is>
      </c>
      <c r="D125" s="5" t="inlineStr">
        <is>
          <t>%</t>
        </is>
      </c>
      <c r="E125" s="5" t="inlineStr">
        <is>
          <t>Share of prefill served from cache. Inflates TTFT favourably.</t>
        </is>
      </c>
      <c r="F125" s="5" t="inlineStr">
        <is>
          <t>Engine metrics endpoint.</t>
        </is>
      </c>
      <c r="G125" s="5" t="inlineStr">
        <is>
          <t>Optional</t>
        </is>
      </c>
      <c r="H125" s="5" t="inlineStr"/>
    </row>
    <row r="126">
      <c r="A126" s="5" t="inlineStr">
        <is>
          <t>Resource</t>
        </is>
      </c>
      <c r="B126" s="5" t="inlineStr">
        <is>
          <t>KV cache per 1k context</t>
        </is>
      </c>
      <c r="C126" s="5" t="inlineStr">
        <is>
          <t>kv_cache_gb_per_1k</t>
        </is>
      </c>
      <c r="D126" s="5" t="inlineStr">
        <is>
          <t>GB</t>
        </is>
      </c>
      <c r="E126" s="5" t="inlineStr">
        <is>
          <t>Predicts max concurrency at a given context length better than peak memory does.</t>
        </is>
      </c>
      <c r="F126" s="5" t="inlineStr">
        <is>
          <t>Measure at two context lengths, interpolate.</t>
        </is>
      </c>
      <c r="G126" s="5" t="inlineStr">
        <is>
          <t>Optional</t>
        </is>
      </c>
      <c r="H126" s="5" t="inlineStr"/>
    </row>
    <row r="127">
      <c r="A127" s="7" t="inlineStr">
        <is>
          <t>RELIABILITY</t>
        </is>
      </c>
    </row>
    <row r="128">
      <c r="A128" s="5" t="inlineStr">
        <is>
          <t>Reliability</t>
        </is>
      </c>
      <c r="B128" s="5" t="inlineStr">
        <is>
          <t>Completed / failed</t>
        </is>
      </c>
      <c r="C128" s="5" t="inlineStr">
        <is>
          <t>completed_requests / failed_requests</t>
        </is>
      </c>
      <c r="D128" s="5" t="inlineStr">
        <is>
          <t>count</t>
        </is>
      </c>
      <c r="E128" s="5" t="inlineStr">
        <is>
          <t>Successful vs errored in the measurement window.</t>
        </is>
      </c>
      <c r="F128" s="5" t="inlineStr">
        <is>
          <t>Client.</t>
        </is>
      </c>
      <c r="G128" s="4" t="inlineStr">
        <is>
          <t>Core</t>
        </is>
      </c>
      <c r="H128" s="5" t="inlineStr"/>
    </row>
    <row r="129">
      <c r="A129" s="5" t="inlineStr">
        <is>
          <t>Reliability</t>
        </is>
      </c>
      <c r="B129" s="5" t="inlineStr">
        <is>
          <t>Error rate</t>
        </is>
      </c>
      <c r="C129" s="5" t="inlineStr">
        <is>
          <t>error_rate_pct</t>
        </is>
      </c>
      <c r="D129" s="5" t="inlineStr">
        <is>
          <t>%</t>
        </is>
      </c>
      <c r="E129" s="5" t="inlineStr">
        <is>
          <t>Above sla_max_error_rate_pct means the load point was never really served.</t>
        </is>
      </c>
      <c r="F129" s="5" t="inlineStr">
        <is>
          <t>Formula.</t>
        </is>
      </c>
      <c r="G129" s="4" t="inlineStr">
        <is>
          <t>Core</t>
        </is>
      </c>
      <c r="H129" s="5" t="inlineStr"/>
    </row>
    <row r="130">
      <c r="A130" s="5" t="inlineStr">
        <is>
          <t>Reliability</t>
        </is>
      </c>
      <c r="B130" s="5" t="inlineStr">
        <is>
          <t>Meets TTFT SLA</t>
        </is>
      </c>
      <c r="C130" s="5" t="inlineStr">
        <is>
          <t>meets_ttft_sla</t>
        </is>
      </c>
      <c r="D130" s="5" t="inlineStr">
        <is>
          <t>PASS/FAIL</t>
        </is>
      </c>
      <c r="E130" s="5" t="inlineStr">
        <is>
          <t>ttft_p95 against the Run_Config threshold.</t>
        </is>
      </c>
      <c r="F130" s="5" t="inlineStr">
        <is>
          <t>Formula.</t>
        </is>
      </c>
      <c r="G130" s="4" t="inlineStr">
        <is>
          <t>Core</t>
        </is>
      </c>
      <c r="H130" s="5" t="inlineStr"/>
    </row>
    <row r="131">
      <c r="A131" s="5" t="inlineStr">
        <is>
          <t>Reliability</t>
        </is>
      </c>
      <c r="B131" s="5" t="inlineStr">
        <is>
          <t>Meets per-user TPS SLA</t>
        </is>
      </c>
      <c r="C131" s="5" t="inlineStr">
        <is>
          <t>meets_tps_sla</t>
        </is>
      </c>
      <c r="D131" s="5" t="inlineStr">
        <is>
          <t>PASS/FAIL</t>
        </is>
      </c>
      <c r="E131" s="5" t="inlineStr">
        <is>
          <t>Together with TTFT this gives goodput.</t>
        </is>
      </c>
      <c r="F131" s="5" t="inlineStr">
        <is>
          <t>Formula.</t>
        </is>
      </c>
      <c r="G131" s="4" t="inlineStr">
        <is>
          <t>Core</t>
        </is>
      </c>
      <c r="H131" s="5" t="inlineStr"/>
    </row>
    <row r="132">
      <c r="A132" s="5" t="inlineStr">
        <is>
          <t>Reliability</t>
        </is>
      </c>
      <c r="B132" s="5" t="inlineStr">
        <is>
          <t>Rate-limit / 429 rate</t>
        </is>
      </c>
      <c r="C132" s="5" t="inlineStr">
        <is>
          <t>rate_limit_pct</t>
        </is>
      </c>
      <c r="D132" s="5" t="inlineStr">
        <is>
          <t>%</t>
        </is>
      </c>
      <c r="E132" s="5" t="inlineStr">
        <is>
          <t>API only. A wall of 429s looks exactly like a model scoring zero.</t>
        </is>
      </c>
      <c r="F132" s="5" t="inlineStr">
        <is>
          <t>Client counts them separately from real errors.</t>
        </is>
      </c>
      <c r="G132" s="4" t="inlineStr">
        <is>
          <t>Core</t>
        </is>
      </c>
      <c r="H132" s="5" t="inlineStr"/>
    </row>
    <row r="133">
      <c r="A133" s="5" t="inlineStr">
        <is>
          <t>Reliability</t>
        </is>
      </c>
      <c r="B133" s="5" t="inlineStr">
        <is>
          <t>Empty / truncated response rate</t>
        </is>
      </c>
      <c r="C133" s="5" t="inlineStr">
        <is>
          <t>empty_response_pct</t>
        </is>
      </c>
      <c r="D133" s="5" t="inlineStr">
        <is>
          <t>%</t>
        </is>
      </c>
      <c r="E133" s="5" t="inlineStr">
        <is>
          <t>Returned 200 with nothing usable.</t>
        </is>
      </c>
      <c r="F133" s="5" t="inlineStr">
        <is>
          <t>Client.</t>
        </is>
      </c>
      <c r="G133" s="4" t="inlineStr">
        <is>
          <t>Core</t>
        </is>
      </c>
      <c r="H133" s="5" t="inlineStr"/>
    </row>
    <row r="134">
      <c r="A134" s="7" t="inlineStr">
        <is>
          <t>COMPLIANCE</t>
        </is>
      </c>
    </row>
    <row r="135">
      <c r="A135" s="5" t="inlineStr">
        <is>
          <t>Compliance</t>
        </is>
      </c>
      <c r="B135" s="5" t="inlineStr">
        <is>
          <t>License</t>
        </is>
      </c>
      <c r="C135" s="5" t="inlineStr">
        <is>
          <t>license</t>
        </is>
      </c>
      <c r="D135" s="5" t="inlineStr">
        <is>
          <t>text</t>
        </is>
      </c>
      <c r="E135" s="5" t="inlineStr">
        <is>
          <t>Commercial-use terms. Some 'open' models restrict deployment.</t>
        </is>
      </c>
      <c r="F135" s="5" t="inlineStr">
        <is>
          <t>Repo LICENSE.</t>
        </is>
      </c>
      <c r="G135" s="4" t="inlineStr">
        <is>
          <t>Core</t>
        </is>
      </c>
      <c r="H135" s="8" t="inlineStr">
        <is>
          <t>Same licence for both - confirm it once, on the repo.</t>
        </is>
      </c>
    </row>
    <row r="136">
      <c r="A136" s="5" t="inlineStr">
        <is>
          <t>Compliance</t>
        </is>
      </c>
      <c r="B136" s="5" t="inlineStr">
        <is>
          <t>Weights availability</t>
        </is>
      </c>
      <c r="C136" s="5" t="inlineStr">
        <is>
          <t>open_weights</t>
        </is>
      </c>
      <c r="D136" s="5" t="inlineStr">
        <is>
          <t>Y/N</t>
        </is>
      </c>
      <c r="E136" s="5" t="inlineStr">
        <is>
          <t>Downloadable or API-only.</t>
        </is>
      </c>
      <c r="F136" s="5" t="inlineStr">
        <is>
          <t>Model card.</t>
        </is>
      </c>
      <c r="G136" s="4" t="inlineStr">
        <is>
          <t>Core</t>
        </is>
      </c>
      <c r="H136" s="5" t="inlineStr"/>
    </row>
    <row r="137">
      <c r="A137" s="5" t="inlineStr">
        <is>
          <t>Compliance</t>
        </is>
      </c>
      <c r="B137" s="5" t="inlineStr">
        <is>
          <t>Provider country / bloc</t>
        </is>
      </c>
      <c r="C137" s="5" t="inlineStr">
        <is>
          <t>country / bloc</t>
        </is>
      </c>
      <c r="D137" s="5" t="inlineStr">
        <is>
          <t>text</t>
        </is>
      </c>
      <c r="E137" s="5" t="inlineStr">
        <is>
          <t>Lab headquarters. Drives procurement and data-residency review.</t>
        </is>
      </c>
      <c r="F137" s="5" t="inlineStr">
        <is>
          <t>Model card.</t>
        </is>
      </c>
      <c r="G137" s="4" t="inlineStr">
        <is>
          <t>Core</t>
        </is>
      </c>
      <c r="H137" s="5" t="inlineStr"/>
    </row>
    <row r="138">
      <c r="A138" s="5" t="inlineStr">
        <is>
          <t>Compliance</t>
        </is>
      </c>
      <c r="B138" s="5" t="inlineStr">
        <is>
          <t>Data residency</t>
        </is>
      </c>
      <c r="C138" s="5" t="inlineStr">
        <is>
          <t>data_residency</t>
        </is>
      </c>
      <c r="D138" s="5" t="inlineStr">
        <is>
          <t>text</t>
        </is>
      </c>
      <c r="E138" s="5" t="inlineStr">
        <is>
          <t>Where inference happens and where prompts are stored. Different answer for the same weights on different hosts.</t>
        </is>
      </c>
      <c r="F138" s="5" t="inlineStr">
        <is>
          <t>Provider DPA.</t>
        </is>
      </c>
      <c r="G138" s="4" t="inlineStr">
        <is>
          <t>Core</t>
        </is>
      </c>
      <c r="H138" s="5" t="inlineStr"/>
    </row>
    <row r="139">
      <c r="A139" s="5" t="inlineStr">
        <is>
          <t>Compliance</t>
        </is>
      </c>
      <c r="B139" s="5" t="inlineStr">
        <is>
          <t>Training-data retention</t>
        </is>
      </c>
      <c r="C139" s="5" t="inlineStr">
        <is>
          <t>prompt_retention</t>
        </is>
      </c>
      <c r="D139" s="5" t="inlineStr">
        <is>
          <t>text</t>
        </is>
      </c>
      <c r="E139" s="5" t="inlineStr">
        <is>
          <t>Whether the provider trains on your prompts, and the opt-out.</t>
        </is>
      </c>
      <c r="F139" s="5" t="inlineStr">
        <is>
          <t>Provider terms.</t>
        </is>
      </c>
      <c r="G139" s="4" t="inlineStr">
        <is>
          <t>Core</t>
        </is>
      </c>
      <c r="H139" s="5" t="inlineStr"/>
    </row>
    <row r="140">
      <c r="A140" s="5" t="inlineStr">
        <is>
          <t>Compliance</t>
        </is>
      </c>
      <c r="B140" s="5" t="inlineStr">
        <is>
          <t>Export-control status</t>
        </is>
      </c>
      <c r="C140" s="5" t="inlineStr">
        <is>
          <t>export_control_flag</t>
        </is>
      </c>
      <c r="D140" s="5" t="inlineStr">
        <is>
          <t>Y/N</t>
        </is>
      </c>
      <c r="E140" s="5" t="inlineStr">
        <is>
          <t>Relevant for Chinese-lab models in some jurisdictions.</t>
        </is>
      </c>
      <c r="F140" s="5" t="inlineStr">
        <is>
          <t>Legal review.</t>
        </is>
      </c>
      <c r="G140" s="5" t="inlineStr">
        <is>
          <t>Optional</t>
        </is>
      </c>
      <c r="H140" s="5" t="inlineStr"/>
    </row>
    <row r="141">
      <c r="A141" s="5" t="inlineStr">
        <is>
          <t>Compliance</t>
        </is>
      </c>
      <c r="B141" s="5" t="inlineStr">
        <is>
          <t>Indemnity offered</t>
        </is>
      </c>
      <c r="C141" s="5" t="inlineStr">
        <is>
          <t>ip_indemnity</t>
        </is>
      </c>
      <c r="D141" s="5" t="inlineStr">
        <is>
          <t>Y/N</t>
        </is>
      </c>
      <c r="E141" s="5" t="inlineStr">
        <is>
          <t>Some vendors indemnify IP claims on generated output.</t>
        </is>
      </c>
      <c r="F141" s="5" t="inlineStr">
        <is>
          <t>Contract.</t>
        </is>
      </c>
      <c r="G141" s="5" t="inlineStr">
        <is>
          <t>Optional</t>
        </is>
      </c>
      <c r="H141" s="5" t="inlineStr"/>
    </row>
    <row r="142">
      <c r="A142" s="7" t="inlineStr">
        <is>
          <t>OPERATIONAL</t>
        </is>
      </c>
    </row>
    <row r="143">
      <c r="A143" s="5" t="inlineStr">
        <is>
          <t>Operational</t>
        </is>
      </c>
      <c r="B143" s="5" t="inlineStr">
        <is>
          <t>Release cadence</t>
        </is>
      </c>
      <c r="C143" s="5" t="inlineStr">
        <is>
          <t>release_cadence</t>
        </is>
      </c>
      <c r="D143" s="5" t="inlineStr">
        <is>
          <t>text</t>
        </is>
      </c>
      <c r="E143" s="5" t="inlineStr">
        <is>
          <t>How often the lab ships. Fast cadence means frequent revalidation.</t>
        </is>
      </c>
      <c r="F143" s="5" t="inlineStr">
        <is>
          <t>Release history.</t>
        </is>
      </c>
      <c r="G143" s="5" t="inlineStr">
        <is>
          <t>Optional</t>
        </is>
      </c>
      <c r="H143" s="5" t="inlineStr"/>
    </row>
    <row r="144">
      <c r="A144" s="5" t="inlineStr">
        <is>
          <t>Operational</t>
        </is>
      </c>
      <c r="B144" s="5" t="inlineStr">
        <is>
          <t>Deprecation risk</t>
        </is>
      </c>
      <c r="C144" s="5" t="inlineStr">
        <is>
          <t>deprecation_notice_days</t>
        </is>
      </c>
      <c r="D144" s="5" t="inlineStr">
        <is>
          <t>days</t>
        </is>
      </c>
      <c r="E144" s="5" t="inlineStr">
        <is>
          <t>Notice given before an endpoint retires. Short notice is an operational liability.</t>
        </is>
      </c>
      <c r="F144" s="5" t="inlineStr">
        <is>
          <t>Provider policy.</t>
        </is>
      </c>
      <c r="G144" s="5" t="inlineStr">
        <is>
          <t>Optional</t>
        </is>
      </c>
      <c r="H144" s="5" t="inlineStr"/>
    </row>
    <row r="145">
      <c r="A145" s="5" t="inlineStr">
        <is>
          <t>Operational</t>
        </is>
      </c>
      <c r="B145" s="5" t="inlineStr">
        <is>
          <t>Quantization availability</t>
        </is>
      </c>
      <c r="C145" s="5" t="inlineStr">
        <is>
          <t>planned_quantizations</t>
        </is>
      </c>
      <c r="D145" s="5" t="inlineStr">
        <is>
          <t>text</t>
        </is>
      </c>
      <c r="E145" s="5" t="inlineStr">
        <is>
          <t>Which precisions ship or exist as community builds.</t>
        </is>
      </c>
      <c r="F145" s="5" t="inlineStr">
        <is>
          <t>HF repo / Ollama tags.</t>
        </is>
      </c>
      <c r="G145" s="4" t="inlineStr">
        <is>
          <t>Core</t>
        </is>
      </c>
      <c r="H145" s="5" t="inlineStr"/>
    </row>
    <row r="146">
      <c r="A146" s="5" t="inlineStr">
        <is>
          <t>Operational</t>
        </is>
      </c>
      <c r="B146" s="5" t="inlineStr">
        <is>
          <t>Engine support status</t>
        </is>
      </c>
      <c r="C146" s="5" t="inlineStr">
        <is>
          <t>vllm_supported / trtllm_supported</t>
        </is>
      </c>
      <c r="D146" s="5" t="inlineStr">
        <is>
          <t>Y/N</t>
        </is>
      </c>
      <c r="E146" s="5" t="inlineStr">
        <is>
          <t>New architectures often land in vLLM weeks after release.</t>
        </is>
      </c>
      <c r="F146" s="5" t="inlineStr">
        <is>
          <t>Engine release notes.</t>
        </is>
      </c>
      <c r="G146" s="4" t="inlineStr">
        <is>
          <t>Core</t>
        </is>
      </c>
      <c r="H146" s="5" t="inlineStr"/>
    </row>
    <row r="147">
      <c r="A147" s="5" t="inlineStr">
        <is>
          <t>Operational</t>
        </is>
      </c>
      <c r="B147" s="5" t="inlineStr">
        <is>
          <t>Ollama tag</t>
        </is>
      </c>
      <c r="C147" s="5" t="inlineStr">
        <is>
          <t>ollama_tag</t>
        </is>
      </c>
      <c r="D147" s="5" t="inlineStr">
        <is>
          <t>text</t>
        </is>
      </c>
      <c r="E147" s="5" t="inlineStr">
        <is>
          <t>Resolvable library tag, blank where none exists.</t>
        </is>
      </c>
      <c r="F147" s="5" t="inlineStr">
        <is>
          <t>run_ollama_bench.py --check.</t>
        </is>
      </c>
      <c r="G147" s="4" t="inlineStr">
        <is>
          <t>Core</t>
        </is>
      </c>
      <c r="H147" s="5" t="inlineStr"/>
    </row>
    <row r="148">
      <c r="A148" s="5" t="inlineStr">
        <is>
          <t>Operational</t>
        </is>
      </c>
      <c r="B148" s="5" t="inlineStr">
        <is>
          <t>HF repo id</t>
        </is>
      </c>
      <c r="C148" s="5" t="inlineStr">
        <is>
          <t>hf_repo_id</t>
        </is>
      </c>
      <c r="D148" s="5" t="inlineStr">
        <is>
          <t>text</t>
        </is>
      </c>
      <c r="E148" s="5" t="inlineStr">
        <is>
          <t>Verify before pulling - repo names drift between releases.</t>
        </is>
      </c>
      <c r="F148" s="5" t="inlineStr">
        <is>
          <t>Hugging Face.</t>
        </is>
      </c>
      <c r="G148" s="4" t="inlineStr">
        <is>
          <t>Core</t>
        </is>
      </c>
      <c r="H148" s="5" t="inlineStr"/>
    </row>
    <row r="149">
      <c r="A149" s="7" t="inlineStr">
        <is>
          <t>IDENTITY</t>
        </is>
      </c>
    </row>
    <row r="150">
      <c r="A150" s="5" t="inlineStr">
        <is>
          <t>Identity</t>
        </is>
      </c>
      <c r="B150" s="5" t="inlineStr">
        <is>
          <t>Model key</t>
        </is>
      </c>
      <c r="C150" s="5" t="inlineStr">
        <is>
          <t>model_key</t>
        </is>
      </c>
      <c r="D150" s="5" t="inlineStr">
        <is>
          <t>text</t>
        </is>
      </c>
      <c r="E150" s="5" t="inlineStr">
        <is>
          <t>Join key used by every sheet. Keep it stable.</t>
        </is>
      </c>
      <c r="F150" s="5" t="inlineStr">
        <is>
          <t>You define it.</t>
        </is>
      </c>
      <c r="G150" s="4" t="inlineStr">
        <is>
          <t>Core</t>
        </is>
      </c>
      <c r="H150" s="5" t="inlineStr"/>
    </row>
    <row r="151">
      <c r="A151" s="5" t="inlineStr">
        <is>
          <t>Identity</t>
        </is>
      </c>
      <c r="B151" s="5" t="inlineStr">
        <is>
          <t>Total / active params</t>
        </is>
      </c>
      <c r="C151" s="5" t="inlineStr">
        <is>
          <t>params_total_b / params_active_b</t>
        </is>
      </c>
      <c r="D151" s="5" t="inlineStr">
        <is>
          <t>billions</t>
        </is>
      </c>
      <c r="E151" s="5" t="inlineStr">
        <is>
          <t>Differs for MoE - active params drive compute, total drives memory.</t>
        </is>
      </c>
      <c r="F151" s="5" t="inlineStr">
        <is>
          <t>Model card.</t>
        </is>
      </c>
      <c r="G151" s="4" t="inlineStr">
        <is>
          <t>Core</t>
        </is>
      </c>
      <c r="H151" s="5" t="inlineStr"/>
    </row>
    <row r="152">
      <c r="A152" s="5" t="inlineStr">
        <is>
          <t>Identity</t>
        </is>
      </c>
      <c r="B152" s="5" t="inlineStr">
        <is>
          <t>Architecture</t>
        </is>
      </c>
      <c r="C152" s="5" t="inlineStr">
        <is>
          <t>architecture</t>
        </is>
      </c>
      <c r="D152" s="5" t="inlineStr">
        <is>
          <t>text</t>
        </is>
      </c>
      <c r="E152" s="5" t="inlineStr">
        <is>
          <t>Dense or MoE. Changes the memory-vs-compute profile entirely.</t>
        </is>
      </c>
      <c r="F152" s="5" t="inlineStr">
        <is>
          <t>Model card.</t>
        </is>
      </c>
      <c r="G152" s="4" t="inlineStr">
        <is>
          <t>Core</t>
        </is>
      </c>
      <c r="H152" s="5" t="inlineStr"/>
    </row>
    <row r="153">
      <c r="A153" s="5" t="inlineStr">
        <is>
          <t>Identity</t>
        </is>
      </c>
      <c r="B153" s="5" t="inlineStr">
        <is>
          <t>Native context length</t>
        </is>
      </c>
      <c r="C153" s="5" t="inlineStr">
        <is>
          <t>native_context_len</t>
        </is>
      </c>
      <c r="D153" s="5" t="inlineStr">
        <is>
          <t>tokens</t>
        </is>
      </c>
      <c r="E153" s="5" t="inlineStr">
        <is>
          <t>Claimed window. Compare against effective_context_tokens.</t>
        </is>
      </c>
      <c r="F153" s="5" t="inlineStr">
        <is>
          <t>config.json.</t>
        </is>
      </c>
      <c r="G153" s="4" t="inlineStr">
        <is>
          <t>Core</t>
        </is>
      </c>
      <c r="H153" s="5" t="inlineStr"/>
    </row>
    <row r="154">
      <c r="A154" s="5" t="inlineStr">
        <is>
          <t>Identity</t>
        </is>
      </c>
      <c r="B154" s="5" t="inlineStr">
        <is>
          <t>Modality</t>
        </is>
      </c>
      <c r="C154" s="5" t="inlineStr">
        <is>
          <t>modality</t>
        </is>
      </c>
      <c r="D154" s="5" t="inlineStr">
        <is>
          <t>text</t>
        </is>
      </c>
      <c r="E154" s="5" t="inlineStr">
        <is>
          <t>text / text+vision / audio.</t>
        </is>
      </c>
      <c r="F154" s="5" t="inlineStr">
        <is>
          <t>Model card.</t>
        </is>
      </c>
      <c r="G154" s="4" t="inlineStr">
        <is>
          <t>Core</t>
        </is>
      </c>
      <c r="H154" s="5" t="inlineStr"/>
    </row>
    <row r="155">
      <c r="A155" s="7" t="inlineStr">
        <is>
          <t>SERVING CONFIG</t>
        </is>
      </c>
    </row>
    <row r="156">
      <c r="A156" s="5" t="inlineStr">
        <is>
          <t>Serving config</t>
        </is>
      </c>
      <c r="B156" s="5" t="inlineStr">
        <is>
          <t>Quantization</t>
        </is>
      </c>
      <c r="C156" s="5" t="inlineStr">
        <is>
          <t>quantization</t>
        </is>
      </c>
      <c r="D156" s="5" t="inlineStr">
        <is>
          <t>enum</t>
        </is>
      </c>
      <c r="E156" s="5" t="inlineStr">
        <is>
          <t>FP16/BF16/FP8/INT8/INT4-AWQ/INT4-GPTQ/MXFP4.</t>
        </is>
      </c>
      <c r="F156" s="5" t="inlineStr">
        <is>
          <t>Set at load time.</t>
        </is>
      </c>
      <c r="G156" s="4" t="inlineStr">
        <is>
          <t>Core</t>
        </is>
      </c>
      <c r="H156" s="8" t="inlineStr">
        <is>
          <t>Sweep this. 31B-int4 vs E4B-bf16 is the interesting pair.</t>
        </is>
      </c>
    </row>
    <row r="157">
      <c r="A157" s="5" t="inlineStr">
        <is>
          <t>Serving config</t>
        </is>
      </c>
      <c r="B157" s="5" t="inlineStr">
        <is>
          <t>KV cache dtype</t>
        </is>
      </c>
      <c r="C157" s="5" t="inlineStr">
        <is>
          <t>kv_cache_dtype</t>
        </is>
      </c>
      <c r="D157" s="5" t="inlineStr">
        <is>
          <t>enum</t>
        </is>
      </c>
      <c r="E157" s="5" t="inlineStr">
        <is>
          <t>Precision of the KV cache - drives max concurrency.</t>
        </is>
      </c>
      <c r="F157" s="5" t="inlineStr">
        <is>
          <t>Engine flag.</t>
        </is>
      </c>
      <c r="G157" s="4" t="inlineStr">
        <is>
          <t>Core</t>
        </is>
      </c>
      <c r="H157" s="5" t="inlineStr"/>
    </row>
    <row r="158">
      <c r="A158" s="5" t="inlineStr">
        <is>
          <t>Serving config</t>
        </is>
      </c>
      <c r="B158" s="5" t="inlineStr">
        <is>
          <t>Serving stack</t>
        </is>
      </c>
      <c r="C158" s="5" t="inlineStr">
        <is>
          <t>serving_stack</t>
        </is>
      </c>
      <c r="D158" s="5" t="inlineStr">
        <is>
          <t>enum</t>
        </is>
      </c>
      <c r="E158" s="5" t="inlineStr">
        <is>
          <t>vLLM / TensorRT-LLM / SGLang / NIM / Ollama / API:&lt;provider&gt; / WEB:&lt;platform&gt;. Same weights, very different numbers - never mix them in one chart.</t>
        </is>
      </c>
      <c r="F158" s="5" t="inlineStr">
        <is>
          <t>Runner stamps it.</t>
        </is>
      </c>
      <c r="G158" s="4" t="inlineStr">
        <is>
          <t>Core</t>
        </is>
      </c>
      <c r="H158" s="5" t="inlineStr"/>
    </row>
    <row r="159">
      <c r="A159" s="5" t="inlineStr">
        <is>
          <t>Serving config</t>
        </is>
      </c>
      <c r="B159" s="5" t="inlineStr">
        <is>
          <t>Tensor parallel size</t>
        </is>
      </c>
      <c r="C159" s="5" t="inlineStr">
        <is>
          <t>tp_size</t>
        </is>
      </c>
      <c r="D159" s="5" t="inlineStr">
        <is>
          <t>count</t>
        </is>
      </c>
      <c r="E159" s="5" t="inlineStr">
        <is>
          <t>GPUs the model is sharded across.</t>
        </is>
      </c>
      <c r="F159" s="5" t="inlineStr">
        <is>
          <t>Engine flag.</t>
        </is>
      </c>
      <c r="G159" s="4" t="inlineStr">
        <is>
          <t>Core</t>
        </is>
      </c>
      <c r="H159" s="5" t="inlineStr"/>
    </row>
    <row r="160">
      <c r="A160" s="5" t="inlineStr">
        <is>
          <t>Serving config</t>
        </is>
      </c>
      <c r="B160" s="5" t="inlineStr">
        <is>
          <t>Pipeline parallel size</t>
        </is>
      </c>
      <c r="C160" s="5" t="inlineStr">
        <is>
          <t>pp_size</t>
        </is>
      </c>
      <c r="D160" s="5" t="inlineStr">
        <is>
          <t>count</t>
        </is>
      </c>
      <c r="E160" s="5" t="inlineStr">
        <is>
          <t>Pipeline stages. Ollama is always pipeline, never tensor.</t>
        </is>
      </c>
      <c r="F160" s="5" t="inlineStr">
        <is>
          <t>Engine flag.</t>
        </is>
      </c>
      <c r="G160" s="5" t="inlineStr">
        <is>
          <t>Optional</t>
        </is>
      </c>
      <c r="H160" s="5" t="inlineStr"/>
    </row>
    <row r="161">
      <c r="A161" s="5" t="inlineStr">
        <is>
          <t>Serving config</t>
        </is>
      </c>
      <c r="B161" s="5" t="inlineStr">
        <is>
          <t>Max model len</t>
        </is>
      </c>
      <c r="C161" s="5" t="inlineStr">
        <is>
          <t>max_model_len</t>
        </is>
      </c>
      <c r="D161" s="5" t="inlineStr">
        <is>
          <t>tokens</t>
        </is>
      </c>
      <c r="E161" s="5" t="inlineStr">
        <is>
          <t>Context the engine was started with. Too small silently truncates.</t>
        </is>
      </c>
      <c r="F161" s="5" t="inlineStr">
        <is>
          <t>Engine flag.</t>
        </is>
      </c>
      <c r="G161" s="4" t="inlineStr">
        <is>
          <t>Core</t>
        </is>
      </c>
      <c r="H161" s="5" t="inlineStr"/>
    </row>
    <row r="162">
      <c r="A162" s="5" t="inlineStr">
        <is>
          <t>Serving config</t>
        </is>
      </c>
      <c r="B162" s="5" t="inlineStr">
        <is>
          <t>Prefix caching</t>
        </is>
      </c>
      <c r="C162" s="5" t="inlineStr">
        <is>
          <t>prefix_caching</t>
        </is>
      </c>
      <c r="D162" s="5" t="inlineStr">
        <is>
          <t>on/off</t>
        </is>
      </c>
      <c r="E162" s="5" t="inlineStr">
        <is>
          <t>Automatic prefix cache.</t>
        </is>
      </c>
      <c r="F162" s="5" t="inlineStr">
        <is>
          <t>Engine flag.</t>
        </is>
      </c>
      <c r="G162" s="5" t="inlineStr">
        <is>
          <t>Optional</t>
        </is>
      </c>
      <c r="H162" s="5" t="inlineStr"/>
    </row>
    <row r="163">
      <c r="A163" s="5" t="inlineStr">
        <is>
          <t>Serving config</t>
        </is>
      </c>
      <c r="B163" s="5" t="inlineStr">
        <is>
          <t>Scheduler mode</t>
        </is>
      </c>
      <c r="C163" s="5" t="inlineStr">
        <is>
          <t>scheduler_mode</t>
        </is>
      </c>
      <c r="D163" s="5" t="inlineStr">
        <is>
          <t>text</t>
        </is>
      </c>
      <c r="E163" s="5" t="inlineStr">
        <is>
          <t>Continuous batching / chunked prefill / OLLAMA_NUM_PARALLEL.</t>
        </is>
      </c>
      <c r="F163" s="5" t="inlineStr">
        <is>
          <t>Engine flag.</t>
        </is>
      </c>
      <c r="G163" s="5" t="inlineStr">
        <is>
          <t>Optional</t>
        </is>
      </c>
      <c r="H163" s="5" t="inlineStr"/>
    </row>
    <row r="164">
      <c r="A164" s="7" t="inlineStr">
        <is>
          <t>LOAD PROFILE</t>
        </is>
      </c>
    </row>
    <row r="165">
      <c r="A165" s="5" t="inlineStr">
        <is>
          <t>Load profile</t>
        </is>
      </c>
      <c r="B165" s="5" t="inlineStr">
        <is>
          <t>Concurrency</t>
        </is>
      </c>
      <c r="C165" s="5" t="inlineStr">
        <is>
          <t>concurrency</t>
        </is>
      </c>
      <c r="D165" s="5" t="inlineStr">
        <is>
          <t>count</t>
        </is>
      </c>
      <c r="E165" s="5" t="inlineStr">
        <is>
          <t>Simultaneous in-flight requests. Sweep it to find the knee.</t>
        </is>
      </c>
      <c r="F165" s="5" t="inlineStr">
        <is>
          <t>Client flag.</t>
        </is>
      </c>
      <c r="G165" s="4" t="inlineStr">
        <is>
          <t>Core</t>
        </is>
      </c>
      <c r="H165" s="5" t="inlineStr"/>
    </row>
    <row r="166">
      <c r="A166" s="5" t="inlineStr">
        <is>
          <t>Load profile</t>
        </is>
      </c>
      <c r="B166" s="5" t="inlineStr">
        <is>
          <t>Request rate</t>
        </is>
      </c>
      <c r="C166" s="5" t="inlineStr">
        <is>
          <t>request_rate_rps</t>
        </is>
      </c>
      <c r="D166" s="5" t="inlineStr">
        <is>
          <t>req/s</t>
        </is>
      </c>
      <c r="E166" s="5" t="inlineStr">
        <is>
          <t>Arrival rate for open-loop tests; blank for closed-loop.</t>
        </is>
      </c>
      <c r="F166" s="5" t="inlineStr">
        <is>
          <t>Client flag.</t>
        </is>
      </c>
      <c r="G166" s="5" t="inlineStr">
        <is>
          <t>Optional</t>
        </is>
      </c>
      <c r="H166" s="5" t="inlineStr"/>
    </row>
    <row r="167">
      <c r="A167" s="5" t="inlineStr">
        <is>
          <t>Load profile</t>
        </is>
      </c>
      <c r="B167" s="5" t="inlineStr">
        <is>
          <t>Input sequence length</t>
        </is>
      </c>
      <c r="C167" s="5" t="inlineStr">
        <is>
          <t>isl_tokens</t>
        </is>
      </c>
      <c r="D167" s="5" t="inlineStr">
        <is>
          <t>tokens</t>
        </is>
      </c>
      <c r="E167" s="5" t="inlineStr">
        <is>
          <t>Prompt length. Drives prefill cost.</t>
        </is>
      </c>
      <c r="F167" s="5" t="inlineStr">
        <is>
          <t>Calibrated synthetic prompt.</t>
        </is>
      </c>
      <c r="G167" s="4" t="inlineStr">
        <is>
          <t>Core</t>
        </is>
      </c>
      <c r="H167" s="5" t="inlineStr"/>
    </row>
    <row r="168">
      <c r="A168" s="5" t="inlineStr">
        <is>
          <t>Load profile</t>
        </is>
      </c>
      <c r="B168" s="5" t="inlineStr">
        <is>
          <t>Output sequence length</t>
        </is>
      </c>
      <c r="C168" s="5" t="inlineStr">
        <is>
          <t>osl_tokens</t>
        </is>
      </c>
      <c r="D168" s="5" t="inlineStr">
        <is>
          <t>tokens</t>
        </is>
      </c>
      <c r="E168" s="5" t="inlineStr">
        <is>
          <t>Generated length. Drives decode cost.</t>
        </is>
      </c>
      <c r="F168" s="5" t="inlineStr">
        <is>
          <t>max_tokens + ignore_eos.</t>
        </is>
      </c>
      <c r="G168" s="4" t="inlineStr">
        <is>
          <t>Core</t>
        </is>
      </c>
      <c r="H168" s="5" t="inlineStr"/>
    </row>
    <row r="169">
      <c r="A169" s="5" t="inlineStr">
        <is>
          <t>Load profile</t>
        </is>
      </c>
      <c r="B169" s="5" t="inlineStr">
        <is>
          <t>Number of requests</t>
        </is>
      </c>
      <c r="C169" s="5" t="inlineStr">
        <is>
          <t>num_requests</t>
        </is>
      </c>
      <c r="D169" s="5" t="inlineStr">
        <is>
          <t>count</t>
        </is>
      </c>
      <c r="E169" s="5" t="inlineStr">
        <is>
          <t>Requests in the measurement window, excluding warm-up.</t>
        </is>
      </c>
      <c r="F169" s="5" t="inlineStr">
        <is>
          <t>Client flag.</t>
        </is>
      </c>
      <c r="G169" s="4" t="inlineStr">
        <is>
          <t>Core</t>
        </is>
      </c>
      <c r="H169" s="5" t="inlineStr"/>
    </row>
    <row r="170">
      <c r="A170" s="5" t="inlineStr">
        <is>
          <t>Load profile</t>
        </is>
      </c>
      <c r="B170" s="5" t="inlineStr">
        <is>
          <t>Run duration</t>
        </is>
      </c>
      <c r="C170" s="5" t="inlineStr">
        <is>
          <t>duration_s</t>
        </is>
      </c>
      <c r="D170" s="5" t="inlineStr">
        <is>
          <t>s</t>
        </is>
      </c>
      <c r="E170" s="5" t="inlineStr">
        <is>
          <t>Wall clock of the measurement window.</t>
        </is>
      </c>
      <c r="F170" s="5" t="inlineStr">
        <is>
          <t>Client.</t>
        </is>
      </c>
      <c r="G170" s="4" t="inlineStr">
        <is>
          <t>Core</t>
        </is>
      </c>
      <c r="H170" s="5" t="inlineStr"/>
    </row>
    <row r="171">
      <c r="A171" s="7" t="inlineStr">
        <is>
          <t>CONTROLS</t>
        </is>
      </c>
    </row>
    <row r="172">
      <c r="A172" s="5" t="inlineStr">
        <is>
          <t>Controls</t>
        </is>
      </c>
      <c r="B172" s="5" t="inlineStr">
        <is>
          <t>Temperature / top_p / top_k</t>
        </is>
      </c>
      <c r="C172" s="5" t="inlineStr">
        <is>
          <t>temperature / top_p / top_k</t>
        </is>
      </c>
      <c r="D172" s="5" t="inlineStr">
        <is>
          <t>-</t>
        </is>
      </c>
      <c r="E172" s="5" t="inlineStr">
        <is>
          <t>Use 0 for accuracy runs and hold identical across models.</t>
        </is>
      </c>
      <c r="F172" s="5" t="inlineStr">
        <is>
          <t>Run_Config.</t>
        </is>
      </c>
      <c r="G172" s="4" t="inlineStr">
        <is>
          <t>Core</t>
        </is>
      </c>
      <c r="H172" s="5" t="inlineStr"/>
    </row>
    <row r="173">
      <c r="A173" s="5" t="inlineStr">
        <is>
          <t>Controls</t>
        </is>
      </c>
      <c r="B173" s="5" t="inlineStr">
        <is>
          <t>Seed</t>
        </is>
      </c>
      <c r="C173" s="5" t="inlineStr">
        <is>
          <t>seed</t>
        </is>
      </c>
      <c r="D173" s="5" t="inlineStr">
        <is>
          <t>int</t>
        </is>
      </c>
      <c r="E173" s="5" t="inlineStr">
        <is>
          <t>Fixed where the engine supports it. Some providers reject it - the runner drops and retries.</t>
        </is>
      </c>
      <c r="F173" s="5" t="inlineStr">
        <is>
          <t>Run_Config.</t>
        </is>
      </c>
      <c r="G173" s="4" t="inlineStr">
        <is>
          <t>Core</t>
        </is>
      </c>
      <c r="H173" s="5" t="inlineStr"/>
    </row>
    <row r="174">
      <c r="A174" s="5" t="inlineStr">
        <is>
          <t>Controls</t>
        </is>
      </c>
      <c r="B174" s="5" t="inlineStr">
        <is>
          <t>Measurement repeats</t>
        </is>
      </c>
      <c r="C174" s="5" t="inlineStr">
        <is>
          <t>measurement_repeats</t>
        </is>
      </c>
      <c r="D174" s="5" t="inlineStr">
        <is>
          <t>count</t>
        </is>
      </c>
      <c r="E174" s="5" t="inlineStr">
        <is>
          <t>&gt;= 5 for anything you will quote.</t>
        </is>
      </c>
      <c r="F174" s="5" t="inlineStr">
        <is>
          <t>Run_Config.</t>
        </is>
      </c>
      <c r="G174" s="4" t="inlineStr">
        <is>
          <t>Core</t>
        </is>
      </c>
      <c r="H174" s="5" t="inlineStr"/>
    </row>
    <row r="175">
      <c r="A175" s="5" t="inlineStr">
        <is>
          <t>Controls</t>
        </is>
      </c>
      <c r="B175" s="5" t="inlineStr">
        <is>
          <t>Warm-up requests</t>
        </is>
      </c>
      <c r="C175" s="5" t="inlineStr">
        <is>
          <t>warmup_requests</t>
        </is>
      </c>
      <c r="D175" s="5" t="inlineStr">
        <is>
          <t>count</t>
        </is>
      </c>
      <c r="E175" s="5" t="inlineStr">
        <is>
          <t>Discarded before measuring. Non-zero always.</t>
        </is>
      </c>
      <c r="F175" s="5" t="inlineStr">
        <is>
          <t>Run_Config.</t>
        </is>
      </c>
      <c r="G175" s="4" t="inlineStr">
        <is>
          <t>Core</t>
        </is>
      </c>
      <c r="H175" s="5" t="inlineStr"/>
    </row>
    <row r="176">
      <c r="A176" s="5" t="inlineStr">
        <is>
          <t>Controls</t>
        </is>
      </c>
      <c r="B176" s="5" t="inlineStr">
        <is>
          <t>Tokenizer for counting</t>
        </is>
      </c>
      <c r="C176" s="5" t="inlineStr">
        <is>
          <t>tokenizer_for_counting</t>
        </is>
      </c>
      <c r="D176" s="5" t="inlineStr">
        <is>
          <t>text</t>
        </is>
      </c>
      <c r="E176" s="5" t="inlineStr">
        <is>
          <t>Token counts differ per tokenizer - fix one for cross-model cost maths.</t>
        </is>
      </c>
      <c r="F176" s="5" t="inlineStr">
        <is>
          <t>Run_Config.</t>
        </is>
      </c>
      <c r="G176" s="4" t="inlineStr">
        <is>
          <t>Core</t>
        </is>
      </c>
      <c r="H176" s="5" t="inlineStr"/>
    </row>
    <row r="177">
      <c r="A177" s="5" t="inlineStr">
        <is>
          <t>Controls</t>
        </is>
      </c>
      <c r="B177" s="5" t="inlineStr">
        <is>
          <t>SLA thresholds</t>
        </is>
      </c>
      <c r="C177" s="5" t="inlineStr">
        <is>
          <t>sla_*</t>
        </is>
      </c>
      <c r="D177" s="5" t="inlineStr">
        <is>
          <t>ms / tok/s</t>
        </is>
      </c>
      <c r="E177" s="5" t="inlineStr">
        <is>
          <t>Define goodput before you run, not after you see the data.</t>
        </is>
      </c>
      <c r="F177" s="5" t="inlineStr">
        <is>
          <t>Run_Config.</t>
        </is>
      </c>
      <c r="G177" s="4" t="inlineStr">
        <is>
          <t>Core</t>
        </is>
      </c>
      <c r="H177" s="5" t="inlineStr"/>
    </row>
    <row r="178">
      <c r="A178" s="5" t="inlineStr">
        <is>
          <t>Controls</t>
        </is>
      </c>
      <c r="B178" s="5" t="inlineStr">
        <is>
          <t>System prompt</t>
        </is>
      </c>
      <c r="C178" s="5" t="inlineStr">
        <is>
          <t>system_prompt_id</t>
        </is>
      </c>
      <c r="D178" s="5" t="inlineStr">
        <is>
          <t>text</t>
        </is>
      </c>
      <c r="E178" s="5" t="inlineStr">
        <is>
          <t>A platform UI injects one; the API does not. Never compare across different system prompts.</t>
        </is>
      </c>
      <c r="F178" s="5" t="inlineStr">
        <is>
          <t>Record verbatim or by hash.</t>
        </is>
      </c>
      <c r="G178" s="4" t="inlineStr">
        <is>
          <t>Core</t>
        </is>
      </c>
      <c r="H178" s="5" t="inlineStr"/>
    </row>
    <row r="179">
      <c r="A179" s="7" t="inlineStr">
        <is>
          <t>ENVIRONMENT</t>
        </is>
      </c>
    </row>
    <row r="180">
      <c r="A180" s="5" t="inlineStr">
        <is>
          <t>Environment</t>
        </is>
      </c>
      <c r="B180" s="5" t="inlineStr">
        <is>
          <t>GPU model / count</t>
        </is>
      </c>
      <c r="C180" s="5" t="inlineStr">
        <is>
          <t>gpu_model / gpu_count</t>
        </is>
      </c>
      <c r="D180" s="5" t="inlineStr">
        <is>
          <t>text</t>
        </is>
      </c>
      <c r="E180" s="5" t="inlineStr">
        <is>
          <t>e.g. 8x H100 80GB SXM.</t>
        </is>
      </c>
      <c r="F180" s="5" t="inlineStr">
        <is>
          <t>nvidia-smi.</t>
        </is>
      </c>
      <c r="G180" s="4" t="inlineStr">
        <is>
          <t>Core</t>
        </is>
      </c>
      <c r="H180" s="5" t="inlineStr"/>
    </row>
    <row r="181">
      <c r="A181" s="5" t="inlineStr">
        <is>
          <t>Environment</t>
        </is>
      </c>
      <c r="B181" s="5" t="inlineStr">
        <is>
          <t>Driver / CUDA</t>
        </is>
      </c>
      <c r="C181" s="5" t="inlineStr">
        <is>
          <t>nvidia_driver / cuda_version</t>
        </is>
      </c>
      <c r="D181" s="5" t="inlineStr">
        <is>
          <t>text</t>
        </is>
      </c>
      <c r="E181" s="5" t="inlineStr">
        <is>
          <t>Perf shifts across driver versions.</t>
        </is>
      </c>
      <c r="F181" s="5" t="inlineStr">
        <is>
          <t>nvidia-smi.</t>
        </is>
      </c>
      <c r="G181" s="4" t="inlineStr">
        <is>
          <t>Core</t>
        </is>
      </c>
      <c r="H181" s="5" t="inlineStr"/>
    </row>
    <row r="182">
      <c r="A182" s="5" t="inlineStr">
        <is>
          <t>Environment</t>
        </is>
      </c>
      <c r="B182" s="5" t="inlineStr">
        <is>
          <t>Engine versions</t>
        </is>
      </c>
      <c r="C182" s="5" t="inlineStr">
        <is>
          <t>vllm_version / trtllm_version</t>
        </is>
      </c>
      <c r="D182" s="5" t="inlineStr">
        <is>
          <t>text</t>
        </is>
      </c>
      <c r="E182" s="5" t="inlineStr">
        <is>
          <t>Pin them. Throughput changes release to release.</t>
        </is>
      </c>
      <c r="F182" s="5" t="inlineStr">
        <is>
          <t>pip show / container tag.</t>
        </is>
      </c>
      <c r="G182" s="4" t="inlineStr">
        <is>
          <t>Core</t>
        </is>
      </c>
      <c r="H182" s="5" t="inlineStr"/>
    </row>
    <row r="183">
      <c r="A183" s="5" t="inlineStr">
        <is>
          <t>Environment</t>
        </is>
      </c>
      <c r="B183" s="5" t="inlineStr">
        <is>
          <t>Interconnect</t>
        </is>
      </c>
      <c r="C183" s="5" t="inlineStr">
        <is>
          <t>nvlink_nvswitch</t>
        </is>
      </c>
      <c r="D183" s="5" t="inlineStr">
        <is>
          <t>text</t>
        </is>
      </c>
      <c r="E183" s="5" t="inlineStr">
        <is>
          <t>Dominates multi-GPU tensor-parallel scaling.</t>
        </is>
      </c>
      <c r="F183" s="5" t="inlineStr">
        <is>
          <t>nvidia-smi topo -m.</t>
        </is>
      </c>
      <c r="G183" s="4" t="inlineStr">
        <is>
          <t>Core</t>
        </is>
      </c>
      <c r="H183" s="5" t="inlineStr"/>
    </row>
    <row r="184">
      <c r="A184" s="5" t="inlineStr">
        <is>
          <t>Environment</t>
        </is>
      </c>
      <c r="B184" s="5" t="inlineStr">
        <is>
          <t>Power cap</t>
        </is>
      </c>
      <c r="C184" s="5" t="inlineStr">
        <is>
          <t>gpu_power_cap_w</t>
        </is>
      </c>
      <c r="D184" s="5" t="inlineStr">
        <is>
          <t>W</t>
        </is>
      </c>
      <c r="E184" s="5" t="inlineStr">
        <is>
          <t>A capped GPU invalidates cross-system comparison.</t>
        </is>
      </c>
      <c r="F184" s="5" t="inlineStr">
        <is>
          <t>nvidia-smi -q -d POWER.</t>
        </is>
      </c>
      <c r="G184" s="4" t="inlineStr">
        <is>
          <t>Core</t>
        </is>
      </c>
      <c r="H184" s="5" t="inlineStr"/>
    </row>
    <row r="185">
      <c r="A185" s="5" t="inlineStr">
        <is>
          <t>Environment</t>
        </is>
      </c>
      <c r="B185" s="5" t="inlineStr">
        <is>
          <t>Ambient / thermal state</t>
        </is>
      </c>
      <c r="C185" s="5" t="inlineStr">
        <is>
          <t>ambient_note</t>
        </is>
      </c>
      <c r="D185" s="5" t="inlineStr">
        <is>
          <t>text</t>
        </is>
      </c>
      <c r="E185" s="5" t="inlineStr">
        <is>
          <t>Thermal throttling silently skews throughput. Idle the GPUs between runs.</t>
        </is>
      </c>
      <c r="F185" s="5" t="inlineStr">
        <is>
          <t>Note it.</t>
        </is>
      </c>
      <c r="G185" s="5" t="inlineStr">
        <is>
          <t>Optional</t>
        </is>
      </c>
      <c r="H185" s="5" t="inlineStr"/>
    </row>
  </sheetData>
  <mergeCells count="17">
    <mergeCell ref="A155:H155"/>
    <mergeCell ref="A105:H105"/>
    <mergeCell ref="A179:H179"/>
    <mergeCell ref="A134:H134"/>
    <mergeCell ref="A25:H25"/>
    <mergeCell ref="A171:H171"/>
    <mergeCell ref="A51:H51"/>
    <mergeCell ref="A164:H164"/>
    <mergeCell ref="A99:H99"/>
    <mergeCell ref="A41:H41"/>
    <mergeCell ref="A76:H76"/>
    <mergeCell ref="A142:H142"/>
    <mergeCell ref="A118:H118"/>
    <mergeCell ref="A61:H61"/>
    <mergeCell ref="A6:H6"/>
    <mergeCell ref="A149:H149"/>
    <mergeCell ref="A127:H1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6" customWidth="1" min="4" max="4"/>
    <col width="62" customWidth="1" min="5" max="5"/>
  </cols>
  <sheetData>
    <row r="1">
      <c r="A1" s="1" t="inlineStr">
        <is>
          <t>Runtime settings - hold these identical across both models</t>
        </is>
      </c>
    </row>
    <row r="2">
      <c r="A2" s="2" t="inlineStr">
        <is>
          <t>A quality comparison is only valid if these match. Blue cells are yours to edit. Anything you sweep, sweep for BOTH models.</t>
        </is>
      </c>
    </row>
    <row r="4">
      <c r="A4" s="3" t="inlineStr">
        <is>
          <t>Setting</t>
        </is>
      </c>
      <c r="B4" s="3" t="inlineStr">
        <is>
          <t>Accuracy runs</t>
        </is>
      </c>
      <c r="C4" s="3" t="inlineStr">
        <is>
          <t>Throughput runs</t>
        </is>
      </c>
      <c r="D4" s="3" t="inlineStr">
        <is>
          <t>Sweep?</t>
        </is>
      </c>
      <c r="E4" s="3" t="inlineStr">
        <is>
          <t>Why it matters here</t>
        </is>
      </c>
    </row>
    <row r="5">
      <c r="A5" s="4" t="inlineStr">
        <is>
          <t>temperature</t>
        </is>
      </c>
      <c r="B5" s="9" t="inlineStr">
        <is>
          <t>0</t>
        </is>
      </c>
      <c r="C5" s="9" t="inlineStr">
        <is>
          <t>0</t>
        </is>
      </c>
      <c r="D5" s="5" t="inlineStr">
        <is>
          <t>No</t>
        </is>
      </c>
      <c r="E5" s="5" t="inlineStr">
        <is>
          <t>Non-zero makes run-to-run deltas indistinguishable from model deltas.</t>
        </is>
      </c>
    </row>
    <row r="6">
      <c r="A6" s="4" t="inlineStr">
        <is>
          <t>top_p</t>
        </is>
      </c>
      <c r="B6" s="9" t="inlineStr">
        <is>
          <t>1.0</t>
        </is>
      </c>
      <c r="C6" s="9" t="inlineStr">
        <is>
          <t>1.0</t>
        </is>
      </c>
      <c r="D6" s="5" t="inlineStr">
        <is>
          <t>No</t>
        </is>
      </c>
      <c r="E6" s="5" t="inlineStr">
        <is>
          <t>Hold identical across both models.</t>
        </is>
      </c>
    </row>
    <row r="7">
      <c r="A7" s="4" t="inlineStr">
        <is>
          <t>top_k</t>
        </is>
      </c>
      <c r="B7" s="9" t="inlineStr">
        <is>
          <t>0 / disabled</t>
        </is>
      </c>
      <c r="C7" s="9" t="inlineStr">
        <is>
          <t>0 / disabled</t>
        </is>
      </c>
      <c r="D7" s="5" t="inlineStr">
        <is>
          <t>No</t>
        </is>
      </c>
      <c r="E7" s="5" t="inlineStr">
        <is>
          <t>Gemma defaults differ per serving stack - set it explicitly.</t>
        </is>
      </c>
    </row>
    <row r="8">
      <c r="A8" s="4" t="inlineStr">
        <is>
          <t>min_p</t>
        </is>
      </c>
      <c r="B8" s="9" t="inlineStr">
        <is>
          <t>0</t>
        </is>
      </c>
      <c r="C8" s="9" t="inlineStr">
        <is>
          <t>0</t>
        </is>
      </c>
      <c r="D8" s="5" t="inlineStr">
        <is>
          <t>No</t>
        </is>
      </c>
      <c r="E8" s="5" t="inlineStr">
        <is>
          <t>Ollama applies a non-zero default; override it.</t>
        </is>
      </c>
    </row>
    <row r="9">
      <c r="A9" s="4" t="inlineStr">
        <is>
          <t>repeat_penalty</t>
        </is>
      </c>
      <c r="B9" s="9" t="inlineStr">
        <is>
          <t>1.0</t>
        </is>
      </c>
      <c r="C9" s="9" t="inlineStr">
        <is>
          <t>1.0</t>
        </is>
      </c>
      <c r="D9" s="5" t="inlineStr">
        <is>
          <t>No</t>
        </is>
      </c>
      <c r="E9" s="5" t="inlineStr">
        <is>
          <t>A penalty tuned for a 4B distorts a 31B.</t>
        </is>
      </c>
    </row>
    <row r="10">
      <c r="A10" s="4" t="inlineStr">
        <is>
          <t>seed</t>
        </is>
      </c>
      <c r="B10" s="9" t="inlineStr">
        <is>
          <t>42</t>
        </is>
      </c>
      <c r="C10" s="9" t="inlineStr">
        <is>
          <t>42</t>
        </is>
      </c>
      <c r="D10" s="5" t="inlineStr">
        <is>
          <t>No</t>
        </is>
      </c>
      <c r="E10" s="5" t="inlineStr">
        <is>
          <t>Fix it; record when the engine ignores it.</t>
        </is>
      </c>
    </row>
    <row r="11">
      <c r="A11" s="4" t="inlineStr">
        <is>
          <t>max_tokens</t>
        </is>
      </c>
      <c r="B11" s="9" t="inlineStr">
        <is>
          <t>2048</t>
        </is>
      </c>
      <c r="C11" s="9" t="inlineStr">
        <is>
          <t>fixed OSL, ignore_eos</t>
        </is>
      </c>
      <c r="D11" s="5" t="inlineStr">
        <is>
          <t>Yes: 1k / 4k / 16k</t>
        </is>
      </c>
      <c r="E11" s="5" t="inlineStr">
        <is>
          <t>Reasoning budget curve if either model emits thinking tokens.</t>
        </is>
      </c>
    </row>
    <row r="12">
      <c r="A12" s="4" t="inlineStr">
        <is>
          <t>num_ctx / max_model_len</t>
        </is>
      </c>
      <c r="B12" s="9" t="inlineStr">
        <is>
          <t>8192</t>
        </is>
      </c>
      <c r="C12" s="9" t="inlineStr">
        <is>
          <t>matched to ISL+OSL</t>
        </is>
      </c>
      <c r="D12" s="5" t="inlineStr">
        <is>
          <t>Yes: 4k / 32k / 128k / 256k</t>
        </is>
      </c>
      <c r="E12" s="5" t="inlineStr">
        <is>
          <t>Ollama silently truncates to 2048 by default - the commonest wrong result.</t>
        </is>
      </c>
    </row>
    <row r="13">
      <c r="A13" s="4" t="inlineStr">
        <is>
          <t>stop sequences</t>
        </is>
      </c>
      <c r="B13" s="9" t="inlineStr">
        <is>
          <t>none</t>
        </is>
      </c>
      <c r="C13" s="9" t="inlineStr">
        <is>
          <t>none</t>
        </is>
      </c>
      <c r="D13" s="5" t="inlineStr">
        <is>
          <t>No</t>
        </is>
      </c>
      <c r="E13" s="5" t="inlineStr">
        <is>
          <t>A stray stop token looks exactly like a quality regression.</t>
        </is>
      </c>
    </row>
    <row r="14">
      <c r="A14" s="4" t="inlineStr">
        <is>
          <t>system prompt</t>
        </is>
      </c>
      <c r="B14" s="9" t="inlineStr">
        <is>
          <t>empty, or one fixed string</t>
        </is>
      </c>
      <c r="C14" s="9" t="inlineStr">
        <is>
          <t>same</t>
        </is>
      </c>
      <c r="D14" s="5" t="inlineStr">
        <is>
          <t>No</t>
        </is>
      </c>
      <c r="E14" s="5" t="inlineStr">
        <is>
          <t>Record verbatim or by hash; must be identical for both models.</t>
        </is>
      </c>
    </row>
    <row r="15">
      <c r="A15" s="4" t="inlineStr">
        <is>
          <t>chat template</t>
        </is>
      </c>
      <c r="B15" s="9" t="inlineStr">
        <is>
          <t>the family template, one version</t>
        </is>
      </c>
      <c r="C15" s="9" t="inlineStr">
        <is>
          <t>same</t>
        </is>
      </c>
      <c r="D15" s="5" t="inlineStr">
        <is>
          <t>No</t>
        </is>
      </c>
      <c r="E15" s="5" t="inlineStr">
        <is>
          <t>Shared family - use one template or the comparison is invalid.</t>
        </is>
      </c>
    </row>
    <row r="16">
      <c r="A16" s="4" t="inlineStr">
        <is>
          <t>quantization</t>
        </is>
      </c>
      <c r="B16" s="9" t="inlineStr">
        <is>
          <t>BF16 baseline, then INT4</t>
        </is>
      </c>
      <c r="C16" s="9" t="inlineStr">
        <is>
          <t>same</t>
        </is>
      </c>
      <c r="D16" s="5" t="inlineStr">
        <is>
          <t>Yes: BF16 / FP8 / INT4</t>
        </is>
      </c>
      <c r="E16" s="5" t="inlineStr">
        <is>
          <t>31B-int4 vs E4B-bf16 is the real deployment choice.</t>
        </is>
      </c>
    </row>
    <row r="17">
      <c r="A17" s="4" t="inlineStr">
        <is>
          <t>kv_cache_dtype</t>
        </is>
      </c>
      <c r="B17" s="9" t="inlineStr">
        <is>
          <t>auto (fp16)</t>
        </is>
      </c>
      <c r="C17" s="9" t="inlineStr">
        <is>
          <t>auto, then fp8</t>
        </is>
      </c>
      <c r="D17" s="5" t="inlineStr">
        <is>
          <t>Yes</t>
        </is>
      </c>
      <c r="E17" s="5" t="inlineStr">
        <is>
          <t>Drives max concurrency at long context.</t>
        </is>
      </c>
    </row>
    <row r="18">
      <c r="A18" s="4" t="inlineStr">
        <is>
          <t>serving stack</t>
        </is>
      </c>
      <c r="B18" s="9" t="inlineStr">
        <is>
          <t>one engine for both</t>
        </is>
      </c>
      <c r="C18" s="9" t="inlineStr">
        <is>
          <t>one engine for both</t>
        </is>
      </c>
      <c r="D18" s="5" t="inlineStr">
        <is>
          <t>No</t>
        </is>
      </c>
      <c r="E18" s="5" t="inlineStr">
        <is>
          <t>vLLM and Ollama produce different numbers for the same weights.</t>
        </is>
      </c>
    </row>
    <row r="19">
      <c r="A19" s="4" t="inlineStr">
        <is>
          <t>tensor parallel size</t>
        </is>
      </c>
      <c r="B19" s="9" t="inlineStr">
        <is>
          <t>1</t>
        </is>
      </c>
      <c r="C19" s="9" t="inlineStr">
        <is>
          <t>1</t>
        </is>
      </c>
      <c r="D19" s="5" t="inlineStr">
        <is>
          <t>Yes if 31B needs &gt;1 GPU</t>
        </is>
      </c>
      <c r="E19" s="5" t="inlineStr">
        <is>
          <t>Normalise throughput per GPU when TP differs.</t>
        </is>
      </c>
    </row>
    <row r="20">
      <c r="A20" s="4" t="inlineStr">
        <is>
          <t>prefix caching</t>
        </is>
      </c>
      <c r="B20" s="9" t="inlineStr">
        <is>
          <t>off</t>
        </is>
      </c>
      <c r="C20" s="9" t="inlineStr">
        <is>
          <t>off, then on</t>
        </is>
      </c>
      <c r="D20" s="5" t="inlineStr">
        <is>
          <t>Yes</t>
        </is>
      </c>
      <c r="E20" s="5" t="inlineStr">
        <is>
          <t>On, it inflates TTFT wins on repeated prompts.</t>
        </is>
      </c>
    </row>
    <row r="21">
      <c r="A21" s="4" t="inlineStr">
        <is>
          <t>concurrency</t>
        </is>
      </c>
      <c r="B21" s="9" t="inlineStr">
        <is>
          <t>1</t>
        </is>
      </c>
      <c r="C21" s="9" t="inlineStr">
        <is>
          <t>1, 2, 4, 8, 16, 32, 64</t>
        </is>
      </c>
      <c r="D21" s="5" t="inlineStr">
        <is>
          <t>Yes</t>
        </is>
      </c>
      <c r="E21" s="5" t="inlineStr">
        <is>
          <t>The whole throughput story is the sweep, not one point.</t>
        </is>
      </c>
    </row>
    <row r="22">
      <c r="A22" s="4" t="inlineStr">
        <is>
          <t>ISL / OSL</t>
        </is>
      </c>
      <c r="B22" s="9" t="inlineStr">
        <is>
          <t>natural prompt lengths</t>
        </is>
      </c>
      <c r="C22" s="9" t="inlineStr">
        <is>
          <t>fixed pairs, e.g. 1k/1k and 8k/256</t>
        </is>
      </c>
      <c r="D22" s="5" t="inlineStr">
        <is>
          <t>Yes</t>
        </is>
      </c>
      <c r="E22" s="5" t="inlineStr">
        <is>
          <t>Prefill-heavy and decode-heavy shapes rank models differently.</t>
        </is>
      </c>
    </row>
    <row r="23">
      <c r="A23" s="4" t="inlineStr">
        <is>
          <t>warm-up requests</t>
        </is>
      </c>
      <c r="B23" s="9" t="inlineStr">
        <is>
          <t>5, discarded</t>
        </is>
      </c>
      <c r="C23" s="9" t="inlineStr">
        <is>
          <t>5, discarded</t>
        </is>
      </c>
      <c r="D23" s="5" t="inlineStr">
        <is>
          <t>No</t>
        </is>
      </c>
      <c r="E23" s="5" t="inlineStr">
        <is>
          <t>Cold start otherwise lands in your p50.</t>
        </is>
      </c>
    </row>
    <row r="24">
      <c r="A24" s="4" t="inlineStr">
        <is>
          <t>measurement repeats</t>
        </is>
      </c>
      <c r="B24" s="9" t="inlineStr">
        <is>
          <t>5</t>
        </is>
      </c>
      <c r="C24" s="9" t="inlineStr">
        <is>
          <t>5</t>
        </is>
      </c>
      <c r="D24" s="5" t="inlineStr">
        <is>
          <t>No</t>
        </is>
      </c>
      <c r="E24" s="5" t="inlineStr">
        <is>
          <t>Below 5 you cannot separate noise from signal.</t>
        </is>
      </c>
    </row>
    <row r="25">
      <c r="A25" s="4" t="inlineStr">
        <is>
          <t>tokenizer for counting</t>
        </is>
      </c>
      <c r="B25" s="9" t="inlineStr">
        <is>
          <t>the shared Gemma 4 tokenizer</t>
        </is>
      </c>
      <c r="C25" s="9" t="inlineStr">
        <is>
          <t>same</t>
        </is>
      </c>
      <c r="D25" s="5" t="inlineStr">
        <is>
          <t>No</t>
        </is>
      </c>
      <c r="E25" s="5" t="inlineStr">
        <is>
          <t>Same family, so token counts are directly comparable - use that.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9" customWidth="1" min="4" max="4"/>
    <col width="7" customWidth="1" min="5" max="5"/>
    <col width="15" customWidth="1" min="6" max="6"/>
    <col width="15" customWidth="1" min="7" max="7"/>
    <col width="17" customWidth="1" min="8" max="8"/>
    <col width="10" customWidth="1" min="9" max="9"/>
  </cols>
  <sheetData>
    <row r="1">
      <c r="A1" s="1" t="inlineStr">
        <is>
          <t>Head-to-head scorecard - fill the blue columns, the rest computes</t>
        </is>
      </c>
    </row>
    <row r="2">
      <c r="A2" s="2" t="inlineStr">
        <is>
          <t>Legend: blue = you enter the measured value. Delta and Winner are formulas - do not overwrite. Dir 'up' means higher is better, 'down' means lower is better.</t>
        </is>
      </c>
    </row>
    <row r="3">
      <c r="A3" s="2" t="inlineStr">
        <is>
          <t>Example row shows the expected format; overwrite it with your first real measurement.</t>
        </is>
      </c>
    </row>
    <row r="5">
      <c r="A5" s="3" t="inlineStr">
        <is>
          <t>Axis</t>
        </is>
      </c>
      <c r="B5" s="3" t="inlineStr">
        <is>
          <t>Metric</t>
        </is>
      </c>
      <c r="C5" s="3" t="inlineStr">
        <is>
          <t>Field name</t>
        </is>
      </c>
      <c r="D5" s="3" t="inlineStr">
        <is>
          <t>Unit</t>
        </is>
      </c>
      <c r="E5" s="3" t="inlineStr">
        <is>
          <t>Dir</t>
        </is>
      </c>
      <c r="F5" s="3" t="inlineStr">
        <is>
          <t>Gemma 4 31B</t>
        </is>
      </c>
      <c r="G5" s="3" t="inlineStr">
        <is>
          <t>Gemma 4 E4B</t>
        </is>
      </c>
      <c r="H5" s="3" t="inlineStr">
        <is>
          <t>Delta (E4B - 31B)</t>
        </is>
      </c>
      <c r="I5" s="3" t="inlineStr">
        <is>
          <t>Winner</t>
        </is>
      </c>
    </row>
    <row r="6">
      <c r="A6" s="10" t="inlineStr">
        <is>
          <t>Accuracy</t>
        </is>
      </c>
      <c r="B6" s="10" t="inlineStr">
        <is>
          <t>Overall task accuracy</t>
        </is>
      </c>
      <c r="C6" s="10" t="inlineStr">
        <is>
          <t>score_mean</t>
        </is>
      </c>
      <c r="D6" s="10" t="inlineStr">
        <is>
          <t>0-1</t>
        </is>
      </c>
      <c r="E6" s="10" t="inlineStr">
        <is>
          <t>up</t>
        </is>
      </c>
      <c r="F6" s="11" t="n">
        <v>0.78</v>
      </c>
      <c r="G6" s="11" t="n">
        <v>0.61</v>
      </c>
      <c r="H6" s="10">
        <f>IF(OR(NOT(ISNUMBER(F6)),NOT(ISNUMBER(G6))),"",G6-F6)</f>
        <v/>
      </c>
      <c r="I6" s="10">
        <f>IF(OR(NOT(ISNUMBER(F6)),NOT(ISNUMBER(G6))),"",IF(F6=G6,"tie",IF(IF(E6="up",G6&gt;F6,G6&lt;F6),"E4B","31B")))</f>
        <v/>
      </c>
    </row>
    <row r="7">
      <c r="A7" s="10" t="inlineStr">
        <is>
          <t>Accuracy</t>
        </is>
      </c>
      <c r="B7" s="10" t="inlineStr">
        <is>
          <t>95% CI half-width</t>
        </is>
      </c>
      <c r="C7" s="10" t="inlineStr">
        <is>
          <t>score_ci95_halfwidth</t>
        </is>
      </c>
      <c r="D7" s="10" t="inlineStr">
        <is>
          <t>pts</t>
        </is>
      </c>
      <c r="E7" s="10" t="inlineStr">
        <is>
          <t>down</t>
        </is>
      </c>
      <c r="F7" s="11" t="n"/>
      <c r="G7" s="11" t="n"/>
      <c r="H7" s="10">
        <f>IF(OR(NOT(ISNUMBER(F7)),NOT(ISNUMBER(G7))),"",G7-F7)</f>
        <v/>
      </c>
      <c r="I7" s="10">
        <f>IF(OR(NOT(ISNUMBER(F7)),NOT(ISNUMBER(G7))),"",IF(F7=G7,"tie",IF(IF(E7="up",G7&gt;F7,G7&lt;F7),"E4B","31B")))</f>
        <v/>
      </c>
    </row>
    <row r="8">
      <c r="A8" s="10" t="inlineStr">
        <is>
          <t>Accuracy</t>
        </is>
      </c>
      <c r="B8" s="10" t="inlineStr">
        <is>
          <t>Hallucination rate</t>
        </is>
      </c>
      <c r="C8" s="10" t="inlineStr">
        <is>
          <t>hallucination_rate_pct</t>
        </is>
      </c>
      <c r="D8" s="10" t="inlineStr">
        <is>
          <t>%</t>
        </is>
      </c>
      <c r="E8" s="10" t="inlineStr">
        <is>
          <t>down</t>
        </is>
      </c>
      <c r="F8" s="11" t="n"/>
      <c r="G8" s="11" t="n"/>
      <c r="H8" s="10">
        <f>IF(OR(NOT(ISNUMBER(F8)),NOT(ISNUMBER(G8))),"",G8-F8)</f>
        <v/>
      </c>
      <c r="I8" s="10">
        <f>IF(OR(NOT(ISNUMBER(F8)),NOT(ISNUMBER(G8))),"",IF(F8=G8,"tie",IF(IF(E8="up",G8&gt;F8,G8&lt;F8),"E4B","31B")))</f>
        <v/>
      </c>
    </row>
    <row r="9">
      <c r="A9" s="10" t="inlineStr">
        <is>
          <t>Accuracy</t>
        </is>
      </c>
      <c r="B9" s="10" t="inlineStr">
        <is>
          <t>Abstention rate</t>
        </is>
      </c>
      <c r="C9" s="10" t="inlineStr">
        <is>
          <t>abstention_rate_pct</t>
        </is>
      </c>
      <c r="D9" s="10" t="inlineStr">
        <is>
          <t>%</t>
        </is>
      </c>
      <c r="E9" s="10" t="inlineStr">
        <is>
          <t>up</t>
        </is>
      </c>
      <c r="F9" s="11" t="n"/>
      <c r="G9" s="11" t="n"/>
      <c r="H9" s="10">
        <f>IF(OR(NOT(ISNUMBER(F9)),NOT(ISNUMBER(G9))),"",G9-F9)</f>
        <v/>
      </c>
      <c r="I9" s="10">
        <f>IF(OR(NOT(ISNUMBER(F9)),NOT(ISNUMBER(G9))),"",IF(F9=G9,"tie",IF(IF(E9="up",G9&gt;F9,G9&lt;F9),"E4B","31B")))</f>
        <v/>
      </c>
    </row>
    <row r="10">
      <c r="A10" s="10" t="inlineStr">
        <is>
          <t>Accuracy</t>
        </is>
      </c>
      <c r="B10" s="10" t="inlineStr">
        <is>
          <t>Quantization delta vs BF16</t>
        </is>
      </c>
      <c r="C10" s="10" t="inlineStr">
        <is>
          <t>delta_vs_fp16_pct</t>
        </is>
      </c>
      <c r="D10" s="10" t="inlineStr">
        <is>
          <t>%</t>
        </is>
      </c>
      <c r="E10" s="10" t="inlineStr">
        <is>
          <t>down</t>
        </is>
      </c>
      <c r="F10" s="11" t="n"/>
      <c r="G10" s="11" t="n"/>
      <c r="H10" s="10">
        <f>IF(OR(NOT(ISNUMBER(F10)),NOT(ISNUMBER(G10))),"",G10-F10)</f>
        <v/>
      </c>
      <c r="I10" s="10">
        <f>IF(OR(NOT(ISNUMBER(F10)),NOT(ISNUMBER(G10))),"",IF(F10=G10,"tie",IF(IF(E10="up",G10&gt;F10,G10&lt;F10),"E4B","31B")))</f>
        <v/>
      </c>
    </row>
    <row r="11">
      <c r="A11" s="10" t="inlineStr">
        <is>
          <t>Accuracy</t>
        </is>
      </c>
      <c r="B11" s="10" t="inlineStr">
        <is>
          <t>Verbosity</t>
        </is>
      </c>
      <c r="C11" s="10" t="inlineStr">
        <is>
          <t>avg_output_tokens</t>
        </is>
      </c>
      <c r="D11" s="10" t="inlineStr">
        <is>
          <t>tokens</t>
        </is>
      </c>
      <c r="E11" s="10" t="inlineStr">
        <is>
          <t>down</t>
        </is>
      </c>
      <c r="F11" s="11" t="n"/>
      <c r="G11" s="11" t="n"/>
      <c r="H11" s="10">
        <f>IF(OR(NOT(ISNUMBER(F11)),NOT(ISNUMBER(G11))),"",G11-F11)</f>
        <v/>
      </c>
      <c r="I11" s="10">
        <f>IF(OR(NOT(ISNUMBER(F11)),NOT(ISNUMBER(G11))),"",IF(F11=G11,"tie",IF(IF(E11="up",G11&gt;F11,G11&lt;F11),"E4B","31B")))</f>
        <v/>
      </c>
    </row>
    <row r="12">
      <c r="A12" s="10" t="inlineStr">
        <is>
          <t>Accuracy</t>
        </is>
      </c>
      <c r="B12" s="10" t="inlineStr">
        <is>
          <t>Run-to-run determinism</t>
        </is>
      </c>
      <c r="C12" s="10" t="inlineStr">
        <is>
          <t>score_range_across_repeats</t>
        </is>
      </c>
      <c r="D12" s="10" t="inlineStr">
        <is>
          <t>pts</t>
        </is>
      </c>
      <c r="E12" s="10" t="inlineStr">
        <is>
          <t>down</t>
        </is>
      </c>
      <c r="F12" s="11" t="n"/>
      <c r="G12" s="11" t="n"/>
      <c r="H12" s="10">
        <f>IF(OR(NOT(ISNUMBER(F12)),NOT(ISNUMBER(G12))),"",G12-F12)</f>
        <v/>
      </c>
      <c r="I12" s="10">
        <f>IF(OR(NOT(ISNUMBER(F12)),NOT(ISNUMBER(G12))),"",IF(F12=G12,"tie",IF(IF(E12="up",G12&gt;F12,G12&lt;F12),"E4B","31B")))</f>
        <v/>
      </c>
    </row>
    <row r="13">
      <c r="A13" s="10" t="inlineStr">
        <is>
          <t>Reasoning</t>
        </is>
      </c>
      <c r="B13" s="10" t="inlineStr">
        <is>
          <t>Reasoning suite accuracy</t>
        </is>
      </c>
      <c r="C13" s="10" t="inlineStr">
        <is>
          <t>score_mean (reasoning)</t>
        </is>
      </c>
      <c r="D13" s="10" t="inlineStr">
        <is>
          <t>0-1</t>
        </is>
      </c>
      <c r="E13" s="10" t="inlineStr">
        <is>
          <t>up</t>
        </is>
      </c>
      <c r="F13" s="11" t="n"/>
      <c r="G13" s="11" t="n"/>
      <c r="H13" s="10">
        <f>IF(OR(NOT(ISNUMBER(F13)),NOT(ISNUMBER(G13))),"",G13-F13)</f>
        <v/>
      </c>
      <c r="I13" s="10">
        <f>IF(OR(NOT(ISNUMBER(F13)),NOT(ISNUMBER(G13))),"",IF(F13=G13,"tie",IF(IF(E13="up",G13&gt;F13,G13&lt;F13),"E4B","31B")))</f>
        <v/>
      </c>
    </row>
    <row r="14">
      <c r="A14" s="10" t="inlineStr">
        <is>
          <t>Reasoning</t>
        </is>
      </c>
      <c r="B14" s="10" t="inlineStr">
        <is>
          <t>Reasoning tokens emitted</t>
        </is>
      </c>
      <c r="C14" s="10" t="inlineStr">
        <is>
          <t>reasoning_tokens_mean</t>
        </is>
      </c>
      <c r="D14" s="10" t="inlineStr">
        <is>
          <t>tokens</t>
        </is>
      </c>
      <c r="E14" s="10" t="inlineStr">
        <is>
          <t>down</t>
        </is>
      </c>
      <c r="F14" s="11" t="n"/>
      <c r="G14" s="11" t="n"/>
      <c r="H14" s="10">
        <f>IF(OR(NOT(ISNUMBER(F14)),NOT(ISNUMBER(G14))),"",G14-F14)</f>
        <v/>
      </c>
      <c r="I14" s="10">
        <f>IF(OR(NOT(ISNUMBER(F14)),NOT(ISNUMBER(G14))),"",IF(F14=G14,"tie",IF(IF(E14="up",G14&gt;F14,G14&lt;F14),"E4B","31B")))</f>
        <v/>
      </c>
    </row>
    <row r="15">
      <c r="A15" s="10" t="inlineStr">
        <is>
          <t>Reasoning</t>
        </is>
      </c>
      <c r="B15" s="10" t="inlineStr">
        <is>
          <t>Truncation at limit</t>
        </is>
      </c>
      <c r="C15" s="10" t="inlineStr">
        <is>
          <t>hit_max_tokens_pct</t>
        </is>
      </c>
      <c r="D15" s="10" t="inlineStr">
        <is>
          <t>%</t>
        </is>
      </c>
      <c r="E15" s="10" t="inlineStr">
        <is>
          <t>down</t>
        </is>
      </c>
      <c r="F15" s="11" t="n"/>
      <c r="G15" s="11" t="n"/>
      <c r="H15" s="10">
        <f>IF(OR(NOT(ISNUMBER(F15)),NOT(ISNUMBER(G15))),"",G15-F15)</f>
        <v/>
      </c>
      <c r="I15" s="10">
        <f>IF(OR(NOT(ISNUMBER(F15)),NOT(ISNUMBER(G15))),"",IF(F15=G15,"tie",IF(IF(E15="up",G15&gt;F15,G15&lt;F15),"E4B","31B")))</f>
        <v/>
      </c>
    </row>
    <row r="16">
      <c r="A16" s="10" t="inlineStr">
        <is>
          <t>Language</t>
        </is>
      </c>
      <c r="B16" s="10" t="inlineStr">
        <is>
          <t>Instruction compliance</t>
        </is>
      </c>
      <c r="C16" s="10" t="inlineStr">
        <is>
          <t>instruction_compliance_pct</t>
        </is>
      </c>
      <c r="D16" s="10" t="inlineStr">
        <is>
          <t>%</t>
        </is>
      </c>
      <c r="E16" s="10" t="inlineStr">
        <is>
          <t>up</t>
        </is>
      </c>
      <c r="F16" s="11" t="n"/>
      <c r="G16" s="11" t="n"/>
      <c r="H16" s="10">
        <f>IF(OR(NOT(ISNUMBER(F16)),NOT(ISNUMBER(G16))),"",G16-F16)</f>
        <v/>
      </c>
      <c r="I16" s="10">
        <f>IF(OR(NOT(ISNUMBER(F16)),NOT(ISNUMBER(G16))),"",IF(F16=G16,"tie",IF(IF(E16="up",G16&gt;F16,G16&lt;F16),"E4B","31B")))</f>
        <v/>
      </c>
    </row>
    <row r="17">
      <c r="A17" s="10" t="inlineStr">
        <is>
          <t>Language</t>
        </is>
      </c>
      <c r="B17" s="10" t="inlineStr">
        <is>
          <t>Non-English token leakage</t>
        </is>
      </c>
      <c r="C17" s="10" t="inlineStr">
        <is>
          <t>stray_token_pct</t>
        </is>
      </c>
      <c r="D17" s="10" t="inlineStr">
        <is>
          <t>%</t>
        </is>
      </c>
      <c r="E17" s="10" t="inlineStr">
        <is>
          <t>down</t>
        </is>
      </c>
      <c r="F17" s="11" t="n"/>
      <c r="G17" s="11" t="n"/>
      <c r="H17" s="10">
        <f>IF(OR(NOT(ISNUMBER(F17)),NOT(ISNUMBER(G17))),"",G17-F17)</f>
        <v/>
      </c>
      <c r="I17" s="10">
        <f>IF(OR(NOT(ISNUMBER(F17)),NOT(ISNUMBER(G17))),"",IF(F17=G17,"tie",IF(IF(E17="up",G17&gt;F17,G17&lt;F17),"E4B","31B")))</f>
        <v/>
      </c>
    </row>
    <row r="18">
      <c r="A18" s="10" t="inlineStr">
        <is>
          <t>Technical</t>
        </is>
      </c>
      <c r="B18" s="10" t="inlineStr">
        <is>
          <t>Coding pass@1</t>
        </is>
      </c>
      <c r="C18" s="10" t="inlineStr">
        <is>
          <t>pass_at_1</t>
        </is>
      </c>
      <c r="D18" s="10" t="inlineStr">
        <is>
          <t>%</t>
        </is>
      </c>
      <c r="E18" s="10" t="inlineStr">
        <is>
          <t>up</t>
        </is>
      </c>
      <c r="F18" s="11" t="n"/>
      <c r="G18" s="11" t="n"/>
      <c r="H18" s="10">
        <f>IF(OR(NOT(ISNUMBER(F18)),NOT(ISNUMBER(G18))),"",G18-F18)</f>
        <v/>
      </c>
      <c r="I18" s="10">
        <f>IF(OR(NOT(ISNUMBER(F18)),NOT(ISNUMBER(G18))),"",IF(F18=G18,"tie",IF(IF(E18="up",G18&gt;F18,G18&lt;F18),"E4B","31B")))</f>
        <v/>
      </c>
    </row>
    <row r="19">
      <c r="A19" s="10" t="inlineStr">
        <is>
          <t>Technical</t>
        </is>
      </c>
      <c r="B19" s="10" t="inlineStr">
        <is>
          <t>Valid JSON rate</t>
        </is>
      </c>
      <c r="C19" s="10" t="inlineStr">
        <is>
          <t>valid_json_rate_pct</t>
        </is>
      </c>
      <c r="D19" s="10" t="inlineStr">
        <is>
          <t>%</t>
        </is>
      </c>
      <c r="E19" s="10" t="inlineStr">
        <is>
          <t>up</t>
        </is>
      </c>
      <c r="F19" s="11" t="n"/>
      <c r="G19" s="11" t="n"/>
      <c r="H19" s="10">
        <f>IF(OR(NOT(ISNUMBER(F19)),NOT(ISNUMBER(G19))),"",G19-F19)</f>
        <v/>
      </c>
      <c r="I19" s="10">
        <f>IF(OR(NOT(ISNUMBER(F19)),NOT(ISNUMBER(G19))),"",IF(F19=G19,"tie",IF(IF(E19="up",G19&gt;F19,G19&lt;F19),"E4B","31B")))</f>
        <v/>
      </c>
    </row>
    <row r="20">
      <c r="A20" s="10" t="inlineStr">
        <is>
          <t>Technical</t>
        </is>
      </c>
      <c r="B20" s="10" t="inlineStr">
        <is>
          <t>Tool-calling accuracy</t>
        </is>
      </c>
      <c r="C20" s="10" t="inlineStr">
        <is>
          <t>tool_call_accuracy_pct</t>
        </is>
      </c>
      <c r="D20" s="10" t="inlineStr">
        <is>
          <t>%</t>
        </is>
      </c>
      <c r="E20" s="10" t="inlineStr">
        <is>
          <t>up</t>
        </is>
      </c>
      <c r="F20" s="11" t="n"/>
      <c r="G20" s="11" t="n"/>
      <c r="H20" s="10">
        <f>IF(OR(NOT(ISNUMBER(F20)),NOT(ISNUMBER(G20))),"",G20-F20)</f>
        <v/>
      </c>
      <c r="I20" s="10">
        <f>IF(OR(NOT(ISNUMBER(F20)),NOT(ISNUMBER(G20))),"",IF(F20=G20,"tie",IF(IF(E20="up",G20&gt;F20,G20&lt;F20),"E4B","31B")))</f>
        <v/>
      </c>
    </row>
    <row r="21">
      <c r="A21" s="10" t="inlineStr">
        <is>
          <t>Technical</t>
        </is>
      </c>
      <c r="B21" s="10" t="inlineStr">
        <is>
          <t>Extraction accuracy</t>
        </is>
      </c>
      <c r="C21" s="10" t="inlineStr">
        <is>
          <t>score_mean (extraction)</t>
        </is>
      </c>
      <c r="D21" s="10" t="inlineStr">
        <is>
          <t>0-1</t>
        </is>
      </c>
      <c r="E21" s="10" t="inlineStr">
        <is>
          <t>up</t>
        </is>
      </c>
      <c r="F21" s="11" t="n"/>
      <c r="G21" s="11" t="n"/>
      <c r="H21" s="10">
        <f>IF(OR(NOT(ISNUMBER(F21)),NOT(ISNUMBER(G21))),"",G21-F21)</f>
        <v/>
      </c>
      <c r="I21" s="10">
        <f>IF(OR(NOT(ISNUMBER(F21)),NOT(ISNUMBER(G21))),"",IF(F21=G21,"tie",IF(IF(E21="up",G21&gt;F21,G21&lt;F21),"E4B","31B")))</f>
        <v/>
      </c>
    </row>
    <row r="22">
      <c r="A22" s="10" t="inlineStr">
        <is>
          <t>Technical</t>
        </is>
      </c>
      <c r="B22" s="10" t="inlineStr">
        <is>
          <t>Effective context length</t>
        </is>
      </c>
      <c r="C22" s="10" t="inlineStr">
        <is>
          <t>effective_context_tokens</t>
        </is>
      </c>
      <c r="D22" s="10" t="inlineStr">
        <is>
          <t>tokens</t>
        </is>
      </c>
      <c r="E22" s="10" t="inlineStr">
        <is>
          <t>up</t>
        </is>
      </c>
      <c r="F22" s="11" t="n"/>
      <c r="G22" s="11" t="n"/>
      <c r="H22" s="10">
        <f>IF(OR(NOT(ISNUMBER(F22)),NOT(ISNUMBER(G22))),"",G22-F22)</f>
        <v/>
      </c>
      <c r="I22" s="10">
        <f>IF(OR(NOT(ISNUMBER(F22)),NOT(ISNUMBER(G22))),"",IF(F22=G22,"tie",IF(IF(E22="up",G22&gt;F22,G22&lt;F22),"E4B","31B")))</f>
        <v/>
      </c>
    </row>
    <row r="23">
      <c r="A23" s="10" t="inlineStr">
        <is>
          <t>Technical</t>
        </is>
      </c>
      <c r="B23" s="10" t="inlineStr">
        <is>
          <t>Build / compile success</t>
        </is>
      </c>
      <c r="C23" s="10" t="inlineStr">
        <is>
          <t>build_success_pct</t>
        </is>
      </c>
      <c r="D23" s="10" t="inlineStr">
        <is>
          <t>%</t>
        </is>
      </c>
      <c r="E23" s="10" t="inlineStr">
        <is>
          <t>up</t>
        </is>
      </c>
      <c r="F23" s="11" t="n"/>
      <c r="G23" s="11" t="n"/>
      <c r="H23" s="10">
        <f>IF(OR(NOT(ISNUMBER(F23)),NOT(ISNUMBER(G23))),"",G23-F23)</f>
        <v/>
      </c>
      <c r="I23" s="10">
        <f>IF(OR(NOT(ISNUMBER(F23)),NOT(ISNUMBER(G23))),"",IF(F23=G23,"tie",IF(IF(E23="up",G23&gt;F23,G23&lt;F23),"E4B","31B")))</f>
        <v/>
      </c>
    </row>
    <row r="24">
      <c r="A24" s="10" t="inlineStr">
        <is>
          <t>Technical</t>
        </is>
      </c>
      <c r="B24" s="10" t="inlineStr">
        <is>
          <t>Citation faithfulness</t>
        </is>
      </c>
      <c r="C24" s="10" t="inlineStr">
        <is>
          <t>attribution_precision_pct</t>
        </is>
      </c>
      <c r="D24" s="10" t="inlineStr">
        <is>
          <t>%</t>
        </is>
      </c>
      <c r="E24" s="10" t="inlineStr">
        <is>
          <t>up</t>
        </is>
      </c>
      <c r="F24" s="11" t="n"/>
      <c r="G24" s="11" t="n"/>
      <c r="H24" s="10">
        <f>IF(OR(NOT(ISNUMBER(F24)),NOT(ISNUMBER(G24))),"",G24-F24)</f>
        <v/>
      </c>
      <c r="I24" s="10">
        <f>IF(OR(NOT(ISNUMBER(F24)),NOT(ISNUMBER(G24))),"",IF(F24=G24,"tie",IF(IF(E24="up",G24&gt;F24,G24&lt;F24),"E4B","31B")))</f>
        <v/>
      </c>
    </row>
    <row r="25">
      <c r="A25" s="10" t="inlineStr">
        <is>
          <t>Technical</t>
        </is>
      </c>
      <c r="B25" s="10" t="inlineStr">
        <is>
          <t>Internal golden set</t>
        </is>
      </c>
      <c r="C25" s="10" t="inlineStr">
        <is>
          <t>internal_golden_score</t>
        </is>
      </c>
      <c r="D25" s="10" t="inlineStr">
        <is>
          <t>0-1</t>
        </is>
      </c>
      <c r="E25" s="10" t="inlineStr">
        <is>
          <t>up</t>
        </is>
      </c>
      <c r="F25" s="11" t="n"/>
      <c r="G25" s="11" t="n"/>
      <c r="H25" s="10">
        <f>IF(OR(NOT(ISNUMBER(F25)),NOT(ISNUMBER(G25))),"",G25-F25)</f>
        <v/>
      </c>
      <c r="I25" s="10">
        <f>IF(OR(NOT(ISNUMBER(F25)),NOT(ISNUMBER(G25))),"",IF(F25=G25,"tie",IF(IF(E25="up",G25&gt;F25,G25&lt;F25),"E4B","31B")))</f>
        <v/>
      </c>
    </row>
    <row r="26">
      <c r="A26" s="10" t="inlineStr">
        <is>
          <t>Latency</t>
        </is>
      </c>
      <c r="B26" s="10" t="inlineStr">
        <is>
          <t>TTFT p95</t>
        </is>
      </c>
      <c r="C26" s="10" t="inlineStr">
        <is>
          <t>ttft_p95_ms</t>
        </is>
      </c>
      <c r="D26" s="10" t="inlineStr">
        <is>
          <t>ms</t>
        </is>
      </c>
      <c r="E26" s="10" t="inlineStr">
        <is>
          <t>down</t>
        </is>
      </c>
      <c r="F26" s="11" t="n"/>
      <c r="G26" s="11" t="n"/>
      <c r="H26" s="10">
        <f>IF(OR(NOT(ISNUMBER(F26)),NOT(ISNUMBER(G26))),"",G26-F26)</f>
        <v/>
      </c>
      <c r="I26" s="10">
        <f>IF(OR(NOT(ISNUMBER(F26)),NOT(ISNUMBER(G26))),"",IF(F26=G26,"tie",IF(IF(E26="up",G26&gt;F26,G26&lt;F26),"E4B","31B")))</f>
        <v/>
      </c>
    </row>
    <row r="27">
      <c r="A27" s="10" t="inlineStr">
        <is>
          <t>Latency</t>
        </is>
      </c>
      <c r="B27" s="10" t="inlineStr">
        <is>
          <t>Time per output token p50</t>
        </is>
      </c>
      <c r="C27" s="10" t="inlineStr">
        <is>
          <t>tpot_p50_ms</t>
        </is>
      </c>
      <c r="D27" s="10" t="inlineStr">
        <is>
          <t>ms</t>
        </is>
      </c>
      <c r="E27" s="10" t="inlineStr">
        <is>
          <t>down</t>
        </is>
      </c>
      <c r="F27" s="11" t="n"/>
      <c r="G27" s="11" t="n"/>
      <c r="H27" s="10">
        <f>IF(OR(NOT(ISNUMBER(F27)),NOT(ISNUMBER(G27))),"",G27-F27)</f>
        <v/>
      </c>
      <c r="I27" s="10">
        <f>IF(OR(NOT(ISNUMBER(F27)),NOT(ISNUMBER(G27))),"",IF(F27=G27,"tie",IF(IF(E27="up",G27&gt;F27,G27&lt;F27),"E4B","31B")))</f>
        <v/>
      </c>
    </row>
    <row r="28">
      <c r="A28" s="10" t="inlineStr">
        <is>
          <t>Latency</t>
        </is>
      </c>
      <c r="B28" s="10" t="inlineStr">
        <is>
          <t>End to end p95</t>
        </is>
      </c>
      <c r="C28" s="10" t="inlineStr">
        <is>
          <t>e2e_p95_ms</t>
        </is>
      </c>
      <c r="D28" s="10" t="inlineStr">
        <is>
          <t>ms</t>
        </is>
      </c>
      <c r="E28" s="10" t="inlineStr">
        <is>
          <t>down</t>
        </is>
      </c>
      <c r="F28" s="11" t="n"/>
      <c r="G28" s="11" t="n"/>
      <c r="H28" s="10">
        <f>IF(OR(NOT(ISNUMBER(F28)),NOT(ISNUMBER(G28))),"",G28-F28)</f>
        <v/>
      </c>
      <c r="I28" s="10">
        <f>IF(OR(NOT(ISNUMBER(F28)),NOT(ISNUMBER(G28))),"",IF(F28=G28,"tie",IF(IF(E28="up",G28&gt;F28,G28&lt;F28),"E4B","31B")))</f>
        <v/>
      </c>
    </row>
    <row r="29">
      <c r="A29" s="10" t="inlineStr">
        <is>
          <t>Latency</t>
        </is>
      </c>
      <c r="B29" s="10" t="inlineStr">
        <is>
          <t>Per-request output rate</t>
        </is>
      </c>
      <c r="C29" s="10" t="inlineStr">
        <is>
          <t>output_tps_per_request</t>
        </is>
      </c>
      <c r="D29" s="10" t="inlineStr">
        <is>
          <t>tok/s</t>
        </is>
      </c>
      <c r="E29" s="10" t="inlineStr">
        <is>
          <t>up</t>
        </is>
      </c>
      <c r="F29" s="11" t="n"/>
      <c r="G29" s="11" t="n"/>
      <c r="H29" s="10">
        <f>IF(OR(NOT(ISNUMBER(F29)),NOT(ISNUMBER(G29))),"",G29-F29)</f>
        <v/>
      </c>
      <c r="I29" s="10">
        <f>IF(OR(NOT(ISNUMBER(F29)),NOT(ISNUMBER(G29))),"",IF(F29=G29,"tie",IF(IF(E29="up",G29&gt;F29,G29&lt;F29),"E4B","31B")))</f>
        <v/>
      </c>
    </row>
    <row r="30">
      <c r="A30" s="10" t="inlineStr">
        <is>
          <t>Latency</t>
        </is>
      </c>
      <c r="B30" s="10" t="inlineStr">
        <is>
          <t>Total output throughput</t>
        </is>
      </c>
      <c r="C30" s="10" t="inlineStr">
        <is>
          <t>total_output_tps</t>
        </is>
      </c>
      <c r="D30" s="10" t="inlineStr">
        <is>
          <t>tok/s</t>
        </is>
      </c>
      <c r="E30" s="10" t="inlineStr">
        <is>
          <t>up</t>
        </is>
      </c>
      <c r="F30" s="11" t="n"/>
      <c r="G30" s="11" t="n"/>
      <c r="H30" s="10">
        <f>IF(OR(NOT(ISNUMBER(F30)),NOT(ISNUMBER(G30))),"",G30-F30)</f>
        <v/>
      </c>
      <c r="I30" s="10">
        <f>IF(OR(NOT(ISNUMBER(F30)),NOT(ISNUMBER(G30))),"",IF(F30=G30,"tie",IF(IF(E30="up",G30&gt;F30,G30&lt;F30),"E4B","31B")))</f>
        <v/>
      </c>
    </row>
    <row r="31">
      <c r="A31" s="10" t="inlineStr">
        <is>
          <t>Latency</t>
        </is>
      </c>
      <c r="B31" s="10" t="inlineStr">
        <is>
          <t>Cold start</t>
        </is>
      </c>
      <c r="C31" s="10" t="inlineStr">
        <is>
          <t>model_load_time_s</t>
        </is>
      </c>
      <c r="D31" s="10" t="inlineStr">
        <is>
          <t>s</t>
        </is>
      </c>
      <c r="E31" s="10" t="inlineStr">
        <is>
          <t>down</t>
        </is>
      </c>
      <c r="F31" s="11" t="n"/>
      <c r="G31" s="11" t="n"/>
      <c r="H31" s="10">
        <f>IF(OR(NOT(ISNUMBER(F31)),NOT(ISNUMBER(G31))),"",G31-F31)</f>
        <v/>
      </c>
      <c r="I31" s="10">
        <f>IF(OR(NOT(ISNUMBER(F31)),NOT(ISNUMBER(G31))),"",IF(F31=G31,"tie",IF(IF(E31="up",G31&gt;F31,G31&lt;F31),"E4B","31B")))</f>
        <v/>
      </c>
    </row>
    <row r="32">
      <c r="A32" s="10" t="inlineStr">
        <is>
          <t>Resource</t>
        </is>
      </c>
      <c r="B32" s="10" t="inlineStr">
        <is>
          <t>Peak GPU memory</t>
        </is>
      </c>
      <c r="C32" s="10" t="inlineStr">
        <is>
          <t>gpu_mem_peak_gb</t>
        </is>
      </c>
      <c r="D32" s="10" t="inlineStr">
        <is>
          <t>GB</t>
        </is>
      </c>
      <c r="E32" s="10" t="inlineStr">
        <is>
          <t>down</t>
        </is>
      </c>
      <c r="F32" s="11" t="n"/>
      <c r="G32" s="11" t="n"/>
      <c r="H32" s="10">
        <f>IF(OR(NOT(ISNUMBER(F32)),NOT(ISNUMBER(G32))),"",G32-F32)</f>
        <v/>
      </c>
      <c r="I32" s="10">
        <f>IF(OR(NOT(ISNUMBER(F32)),NOT(ISNUMBER(G32))),"",IF(F32=G32,"tie",IF(IF(E32="up",G32&gt;F32,G32&lt;F32),"E4B","31B")))</f>
        <v/>
      </c>
    </row>
    <row r="33">
      <c r="A33" s="10" t="inlineStr">
        <is>
          <t>Resource</t>
        </is>
      </c>
      <c r="B33" s="10" t="inlineStr">
        <is>
          <t>Avg GPU utilisation</t>
        </is>
      </c>
      <c r="C33" s="10" t="inlineStr">
        <is>
          <t>gpu_util_avg_pct</t>
        </is>
      </c>
      <c r="D33" s="10" t="inlineStr">
        <is>
          <t>%</t>
        </is>
      </c>
      <c r="E33" s="10" t="inlineStr">
        <is>
          <t>up</t>
        </is>
      </c>
      <c r="F33" s="11" t="n"/>
      <c r="G33" s="11" t="n"/>
      <c r="H33" s="10">
        <f>IF(OR(NOT(ISNUMBER(F33)),NOT(ISNUMBER(G33))),"",G33-F33)</f>
        <v/>
      </c>
      <c r="I33" s="10">
        <f>IF(OR(NOT(ISNUMBER(F33)),NOT(ISNUMBER(G33))),"",IF(F33=G33,"tie",IF(IF(E33="up",G33&gt;F33,G33&lt;F33),"E4B","31B")))</f>
        <v/>
      </c>
    </row>
    <row r="34">
      <c r="A34" s="10" t="inlineStr">
        <is>
          <t>Resource</t>
        </is>
      </c>
      <c r="B34" s="10" t="inlineStr">
        <is>
          <t>Avg power</t>
        </is>
      </c>
      <c r="C34" s="10" t="inlineStr">
        <is>
          <t>gpu_power_avg_w</t>
        </is>
      </c>
      <c r="D34" s="10" t="inlineStr">
        <is>
          <t>W</t>
        </is>
      </c>
      <c r="E34" s="10" t="inlineStr">
        <is>
          <t>down</t>
        </is>
      </c>
      <c r="F34" s="11" t="n"/>
      <c r="G34" s="11" t="n"/>
      <c r="H34" s="10">
        <f>IF(OR(NOT(ISNUMBER(F34)),NOT(ISNUMBER(G34))),"",G34-F34)</f>
        <v/>
      </c>
      <c r="I34" s="10">
        <f>IF(OR(NOT(ISNUMBER(F34)),NOT(ISNUMBER(G34))),"",IF(F34=G34,"tie",IF(IF(E34="up",G34&gt;F34,G34&lt;F34),"E4B","31B")))</f>
        <v/>
      </c>
    </row>
    <row r="35">
      <c r="A35" s="10" t="inlineStr">
        <is>
          <t>Resource</t>
        </is>
      </c>
      <c r="B35" s="10" t="inlineStr">
        <is>
          <t>Tokens per joule</t>
        </is>
      </c>
      <c r="C35" s="10" t="inlineStr">
        <is>
          <t>tokens_per_joule</t>
        </is>
      </c>
      <c r="D35" s="10" t="inlineStr">
        <is>
          <t>tok/J</t>
        </is>
      </c>
      <c r="E35" s="10" t="inlineStr">
        <is>
          <t>up</t>
        </is>
      </c>
      <c r="F35" s="11" t="n"/>
      <c r="G35" s="11" t="n"/>
      <c r="H35" s="10">
        <f>IF(OR(NOT(ISNUMBER(F35)),NOT(ISNUMBER(G35))),"",G35-F35)</f>
        <v/>
      </c>
      <c r="I35" s="10">
        <f>IF(OR(NOT(ISNUMBER(F35)),NOT(ISNUMBER(G35))),"",IF(F35=G35,"tie",IF(IF(E35="up",G35&gt;F35,G35&lt;F35),"E4B","31B")))</f>
        <v/>
      </c>
    </row>
    <row r="36">
      <c r="A36" s="10" t="inlineStr">
        <is>
          <t>Resource</t>
        </is>
      </c>
      <c r="B36" s="10" t="inlineStr">
        <is>
          <t>KV cache per 1k context</t>
        </is>
      </c>
      <c r="C36" s="10" t="inlineStr">
        <is>
          <t>kv_cache_gb_per_1k</t>
        </is>
      </c>
      <c r="D36" s="10" t="inlineStr">
        <is>
          <t>GB</t>
        </is>
      </c>
      <c r="E36" s="10" t="inlineStr">
        <is>
          <t>down</t>
        </is>
      </c>
      <c r="F36" s="11" t="n"/>
      <c r="G36" s="11" t="n"/>
      <c r="H36" s="10">
        <f>IF(OR(NOT(ISNUMBER(F36)),NOT(ISNUMBER(G36))),"",G36-F36)</f>
        <v/>
      </c>
      <c r="I36" s="10">
        <f>IF(OR(NOT(ISNUMBER(F36)),NOT(ISNUMBER(G36))),"",IF(F36=G36,"tie",IF(IF(E36="up",G36&gt;F36,G36&lt;F36),"E4B","31B")))</f>
        <v/>
      </c>
    </row>
    <row r="37">
      <c r="A37" s="10" t="inlineStr">
        <is>
          <t>Cost</t>
        </is>
      </c>
      <c r="B37" s="10" t="inlineStr">
        <is>
          <t>Cost per 1M output tokens</t>
        </is>
      </c>
      <c r="C37" s="10" t="inlineStr">
        <is>
          <t>cost_per_1m_out_usd</t>
        </is>
      </c>
      <c r="D37" s="10" t="inlineStr">
        <is>
          <t>USD</t>
        </is>
      </c>
      <c r="E37" s="10" t="inlineStr">
        <is>
          <t>down</t>
        </is>
      </c>
      <c r="F37" s="11" t="n"/>
      <c r="G37" s="11" t="n"/>
      <c r="H37" s="10">
        <f>IF(OR(NOT(ISNUMBER(F37)),NOT(ISNUMBER(G37))),"",G37-F37)</f>
        <v/>
      </c>
      <c r="I37" s="10">
        <f>IF(OR(NOT(ISNUMBER(F37)),NOT(ISNUMBER(G37))),"",IF(F37=G37,"tie",IF(IF(E37="up",G37&gt;F37,G37&lt;F37),"E4B","31B")))</f>
        <v/>
      </c>
    </row>
    <row r="38">
      <c r="A38" s="10" t="inlineStr">
        <is>
          <t>Cost</t>
        </is>
      </c>
      <c r="B38" s="10" t="inlineStr">
        <is>
          <t>Cost per completed task</t>
        </is>
      </c>
      <c r="C38" s="10" t="inlineStr">
        <is>
          <t>cost_per_task_usd</t>
        </is>
      </c>
      <c r="D38" s="10" t="inlineStr">
        <is>
          <t>USD</t>
        </is>
      </c>
      <c r="E38" s="10" t="inlineStr">
        <is>
          <t>down</t>
        </is>
      </c>
      <c r="F38" s="11" t="n"/>
      <c r="G38" s="11" t="n"/>
      <c r="H38" s="10">
        <f>IF(OR(NOT(ISNUMBER(F38)),NOT(ISNUMBER(G38))),"",G38-F38)</f>
        <v/>
      </c>
      <c r="I38" s="10">
        <f>IF(OR(NOT(ISNUMBER(F38)),NOT(ISNUMBER(G38))),"",IF(F38=G38,"tie",IF(IF(E38="up",G38&gt;F38,G38&lt;F38),"E4B","31B")))</f>
        <v/>
      </c>
    </row>
    <row r="39">
      <c r="A39" s="10" t="inlineStr">
        <is>
          <t>Reliability</t>
        </is>
      </c>
      <c r="B39" s="10" t="inlineStr">
        <is>
          <t>Error rate</t>
        </is>
      </c>
      <c r="C39" s="10" t="inlineStr">
        <is>
          <t>error_rate_pct</t>
        </is>
      </c>
      <c r="D39" s="10" t="inlineStr">
        <is>
          <t>%</t>
        </is>
      </c>
      <c r="E39" s="10" t="inlineStr">
        <is>
          <t>down</t>
        </is>
      </c>
      <c r="F39" s="11" t="n"/>
      <c r="G39" s="11" t="n"/>
      <c r="H39" s="10">
        <f>IF(OR(NOT(ISNUMBER(F39)),NOT(ISNUMBER(G39))),"",G39-F39)</f>
        <v/>
      </c>
      <c r="I39" s="10">
        <f>IF(OR(NOT(ISNUMBER(F39)),NOT(ISNUMBER(G39))),"",IF(F39=G39,"tie",IF(IF(E39="up",G39&gt;F39,G39&lt;F39),"E4B","31B")))</f>
        <v/>
      </c>
    </row>
    <row r="40">
      <c r="A40" s="10" t="inlineStr">
        <is>
          <t>Reliability</t>
        </is>
      </c>
      <c r="B40" s="10" t="inlineStr">
        <is>
          <t>Empty / truncated responses</t>
        </is>
      </c>
      <c r="C40" s="10" t="inlineStr">
        <is>
          <t>empty_response_pct</t>
        </is>
      </c>
      <c r="D40" s="10" t="inlineStr">
        <is>
          <t>%</t>
        </is>
      </c>
      <c r="E40" s="10" t="inlineStr">
        <is>
          <t>down</t>
        </is>
      </c>
      <c r="F40" s="11" t="n"/>
      <c r="G40" s="11" t="n"/>
      <c r="H40" s="10">
        <f>IF(OR(NOT(ISNUMBER(F40)),NOT(ISNUMBER(G40))),"",G40-F40)</f>
        <v/>
      </c>
      <c r="I40" s="10">
        <f>IF(OR(NOT(ISNUMBER(F40)),NOT(ISNUMBER(G40))),"",IF(F40=G40,"tie",IF(IF(E40="up",G40&gt;F40,G40&lt;F40),"E4B","31B")))</f>
        <v/>
      </c>
    </row>
    <row r="41">
      <c r="A41" s="10" t="inlineStr">
        <is>
          <t>Safety</t>
        </is>
      </c>
      <c r="B41" s="10" t="inlineStr">
        <is>
          <t>Refusal rate on benign prompts</t>
        </is>
      </c>
      <c r="C41" s="10" t="inlineStr">
        <is>
          <t>refusal_rate_pct</t>
        </is>
      </c>
      <c r="D41" s="10" t="inlineStr">
        <is>
          <t>%</t>
        </is>
      </c>
      <c r="E41" s="10" t="inlineStr">
        <is>
          <t>down</t>
        </is>
      </c>
      <c r="F41" s="11" t="n"/>
      <c r="G41" s="11" t="n"/>
      <c r="H41" s="10">
        <f>IF(OR(NOT(ISNUMBER(F41)),NOT(ISNUMBER(G41))),"",G41-F41)</f>
        <v/>
      </c>
      <c r="I41" s="10">
        <f>IF(OR(NOT(ISNUMBER(F41)),NOT(ISNUMBER(G41))),"",IF(F41=G41,"tie",IF(IF(E41="up",G41&gt;F41,G41&lt;F41),"E4B","31B")))</f>
        <v/>
      </c>
    </row>
    <row r="42">
      <c r="A42" s="10" t="inlineStr">
        <is>
          <t>Safety</t>
        </is>
      </c>
      <c r="B42" s="10" t="inlineStr">
        <is>
          <t>Jailbreak resistance</t>
        </is>
      </c>
      <c r="C42" s="10" t="inlineStr">
        <is>
          <t>jailbreak_success_pct</t>
        </is>
      </c>
      <c r="D42" s="10" t="inlineStr">
        <is>
          <t>%</t>
        </is>
      </c>
      <c r="E42" s="10" t="inlineStr">
        <is>
          <t>down</t>
        </is>
      </c>
      <c r="F42" s="11" t="n"/>
      <c r="G42" s="11" t="n"/>
      <c r="H42" s="10">
        <f>IF(OR(NOT(ISNUMBER(F42)),NOT(ISNUMBER(G42))),"",G42-F42)</f>
        <v/>
      </c>
      <c r="I42" s="10">
        <f>IF(OR(NOT(ISNUMBER(F42)),NOT(ISNUMBER(G42))),"",IF(F42=G42,"tie",IF(IF(E42="up",G42&gt;F42,G42&lt;F42),"E4B","31B")))</f>
        <v/>
      </c>
    </row>
    <row r="43">
      <c r="A43" s="10" t="inlineStr">
        <is>
          <t>Safety</t>
        </is>
      </c>
      <c r="B43" s="10" t="inlineStr">
        <is>
          <t>Prompt-injection resistance</t>
        </is>
      </c>
      <c r="C43" s="10" t="inlineStr">
        <is>
          <t>injection_success_pct</t>
        </is>
      </c>
      <c r="D43" s="10" t="inlineStr">
        <is>
          <t>%</t>
        </is>
      </c>
      <c r="E43" s="10" t="inlineStr">
        <is>
          <t>down</t>
        </is>
      </c>
      <c r="F43" s="11" t="n"/>
      <c r="G43" s="11" t="n"/>
      <c r="H43" s="10">
        <f>IF(OR(NOT(ISNUMBER(F43)),NOT(ISNUMBER(G43))),"",G43-F43)</f>
        <v/>
      </c>
      <c r="I43" s="10">
        <f>IF(OR(NOT(ISNUMBER(F43)),NOT(ISNUMBER(G43))),"",IF(F43=G43,"tie",IF(IF(E43="up",G43&gt;F43,G43&lt;F43),"E4B","31B")))</f>
        <v/>
      </c>
    </row>
    <row r="44">
      <c r="A44" s="10" t="inlineStr">
        <is>
          <t>Fine-tuning</t>
        </is>
      </c>
      <c r="B44" s="10" t="inlineStr">
        <is>
          <t>VRAM for LoRA / QLoRA</t>
        </is>
      </c>
      <c r="C44" s="10" t="inlineStr">
        <is>
          <t>vram_lora_gb</t>
        </is>
      </c>
      <c r="D44" s="10" t="inlineStr">
        <is>
          <t>GB</t>
        </is>
      </c>
      <c r="E44" s="10" t="inlineStr">
        <is>
          <t>down</t>
        </is>
      </c>
      <c r="F44" s="11" t="n"/>
      <c r="G44" s="11" t="n"/>
      <c r="H44" s="10">
        <f>IF(OR(NOT(ISNUMBER(F44)),NOT(ISNUMBER(G44))),"",G44-F44)</f>
        <v/>
      </c>
      <c r="I44" s="10">
        <f>IF(OR(NOT(ISNUMBER(F44)),NOT(ISNUMBER(G44))),"",IF(F44=G44,"tie",IF(IF(E44="up",G44&gt;F44,G44&lt;F44),"E4B","31B")))</f>
        <v/>
      </c>
    </row>
    <row r="45">
      <c r="A45" s="10" t="inlineStr">
        <is>
          <t>Fine-tuning</t>
        </is>
      </c>
      <c r="B45" s="10" t="inlineStr">
        <is>
          <t>Held-out gain after tuning</t>
        </is>
      </c>
      <c r="C45" s="10" t="inlineStr">
        <is>
          <t>delta_vs_base_pct</t>
        </is>
      </c>
      <c r="D45" s="10" t="inlineStr">
        <is>
          <t>pts</t>
        </is>
      </c>
      <c r="E45" s="10" t="inlineStr">
        <is>
          <t>up</t>
        </is>
      </c>
      <c r="F45" s="11" t="n"/>
      <c r="G45" s="11" t="n"/>
      <c r="H45" s="10">
        <f>IF(OR(NOT(ISNUMBER(F45)),NOT(ISNUMBER(G45))),"",G45-F45)</f>
        <v/>
      </c>
      <c r="I45" s="10">
        <f>IF(OR(NOT(ISNUMBER(F45)),NOT(ISNUMBER(G45))),"",IF(F45=G45,"tie",IF(IF(E45="up",G45&gt;F45,G45&lt;F45),"E4B","31B")))</f>
        <v/>
      </c>
    </row>
    <row r="46">
      <c r="A46" s="10" t="inlineStr">
        <is>
          <t>Fine-tuning</t>
        </is>
      </c>
      <c r="B46" s="10" t="inlineStr">
        <is>
          <t>Catastrophic forgetting</t>
        </is>
      </c>
      <c r="C46" s="10" t="inlineStr">
        <is>
          <t>forgetting_delta_pct</t>
        </is>
      </c>
      <c r="D46" s="10" t="inlineStr">
        <is>
          <t>pts</t>
        </is>
      </c>
      <c r="E46" s="10" t="inlineStr">
        <is>
          <t>down</t>
        </is>
      </c>
      <c r="F46" s="11" t="n"/>
      <c r="G46" s="11" t="n"/>
      <c r="H46" s="10">
        <f>IF(OR(NOT(ISNUMBER(F46)),NOT(ISNUMBER(G46))),"",G46-F46)</f>
        <v/>
      </c>
      <c r="I46" s="10">
        <f>IF(OR(NOT(ISNUMBER(F46)),NOT(ISNUMBER(G46))),"",IF(F46=G46,"tie",IF(IF(E46="up",G46&gt;F46,G46&lt;F46),"E4B","31B")))</f>
        <v/>
      </c>
    </row>
    <row r="47">
      <c r="A47" s="10" t="inlineStr">
        <is>
          <t>Fine-tuning</t>
        </is>
      </c>
      <c r="B47" s="10" t="inlineStr">
        <is>
          <t>Training GPU-hours</t>
        </is>
      </c>
      <c r="C47" s="10" t="inlineStr">
        <is>
          <t>train_gpu_hours</t>
        </is>
      </c>
      <c r="D47" s="10" t="inlineStr">
        <is>
          <t>h</t>
        </is>
      </c>
      <c r="E47" s="10" t="inlineStr">
        <is>
          <t>down</t>
        </is>
      </c>
      <c r="F47" s="11" t="n"/>
      <c r="G47" s="11" t="n"/>
      <c r="H47" s="10">
        <f>IF(OR(NOT(ISNUMBER(F47)),NOT(ISNUMBER(G47))),"",G47-F47)</f>
        <v/>
      </c>
      <c r="I47" s="10">
        <f>IF(OR(NOT(ISNUMBER(F47)),NOT(ISNUMBER(G47))),"",IF(F47=G47,"tie",IF(IF(E47="up",G47&gt;F47,G47&lt;F47),"E4B","31B")))</f>
        <v/>
      </c>
    </row>
    <row r="49">
      <c r="A49" s="12" t="inlineStr">
        <is>
          <t>Rows won by each model (numeric rows only)</t>
        </is>
      </c>
      <c r="F49" s="13">
        <f>COUNTIF(I6:I47,"31B")</f>
        <v/>
      </c>
      <c r="G49" s="13">
        <f>COUNTIF(I6:I47,"E4B")</f>
        <v/>
      </c>
    </row>
    <row r="50">
      <c r="A50" s="13" t="inlineStr">
        <is>
          <t>Metrics filled in so far</t>
        </is>
      </c>
      <c r="F50" s="13">
        <f>COUNT(F6:F47)</f>
        <v/>
      </c>
      <c r="G50" s="13">
        <f>COUNT(G6:G47)</f>
        <v/>
      </c>
    </row>
    <row r="52">
      <c r="A52" s="2" t="inlineStr">
        <is>
          <t>A win count is not a decision. Weight it: if E4B loses accuracy by less than the CI half-width and wins cost by 5x, E4B is the right model.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44" customWidth="1" min="2" max="2"/>
    <col width="62" customWidth="1" min="3" max="3"/>
  </cols>
  <sheetData>
    <row r="1">
      <c r="A1" s="1" t="inlineStr">
        <is>
          <t>Sources</t>
        </is>
      </c>
    </row>
    <row r="2">
      <c r="A2" s="2" t="inlineStr">
        <is>
          <t>Gathered 2026-08-06. Model specs move fast - re-check before quoting any figure.</t>
        </is>
      </c>
    </row>
    <row r="4">
      <c r="A4" s="3" t="inlineStr">
        <is>
          <t>What it supports</t>
        </is>
      </c>
      <c r="B4" s="3" t="inlineStr">
        <is>
          <t>Source</t>
        </is>
      </c>
      <c r="C4" s="3" t="inlineStr">
        <is>
          <t>URL</t>
        </is>
      </c>
    </row>
    <row r="5">
      <c r="A5" s="5" t="inlineStr">
        <is>
          <t>Gemma 4 and Nemotron 3 Super are the top open-weights models from labs outside China</t>
        </is>
      </c>
      <c r="B5" s="5" t="inlineStr">
        <is>
          <t>Artificial Analysis - recent open-weights model launches</t>
        </is>
      </c>
      <c r="C5" s="5" t="inlineStr">
        <is>
          <t>https://artificialanalysis.ai/articles/recent-open-weights-model-launches</t>
        </is>
      </c>
    </row>
    <row r="6">
      <c r="A6" s="5" t="inlineStr">
        <is>
          <t>Gemma 4 release dates and size line-up (E2B, E4B, 26B-A4B, 31B; 12B Unified on 2026-06-03)</t>
        </is>
      </c>
      <c r="B6" s="5" t="inlineStr">
        <is>
          <t>Google AI for Developers - Gemma releases</t>
        </is>
      </c>
      <c r="C6" s="5" t="inlineStr">
        <is>
          <t>https://ai.google.dev/gemma/docs/releases</t>
        </is>
      </c>
    </row>
    <row r="7">
      <c r="A7" s="5" t="inlineStr">
        <is>
          <t>Gemma 4 31B model card</t>
        </is>
      </c>
      <c r="B7" s="5" t="inlineStr">
        <is>
          <t>Hugging Face</t>
        </is>
      </c>
      <c r="C7" s="5" t="inlineStr">
        <is>
          <t>https://huggingface.co/google/gemma-4-31B-it</t>
        </is>
      </c>
    </row>
    <row r="8">
      <c r="A8" s="5" t="inlineStr">
        <is>
          <t>Nemotron 3 Super size, licence and release date</t>
        </is>
      </c>
      <c r="B8" s="5" t="inlineStr">
        <is>
          <t>NVIDIA newsroom / llm-stats</t>
        </is>
      </c>
      <c r="C8" s="5" t="inlineStr">
        <is>
          <t>https://llm-stats.com/models/nemotron-3-super-120b-a12b</t>
        </is>
      </c>
    </row>
    <row r="9">
      <c r="A9" s="5" t="inlineStr">
        <is>
          <t>Nemotron 3 Nano size, 1M context and licence</t>
        </is>
      </c>
      <c r="B9" s="5" t="inlineStr">
        <is>
          <t>llm-stats</t>
        </is>
      </c>
      <c r="C9" s="5" t="inlineStr">
        <is>
          <t>https://llm-stats.com/blog/research/nemotron-3-nano-launch</t>
        </is>
      </c>
    </row>
    <row r="10">
      <c r="A10" s="5" t="inlineStr">
        <is>
          <t>Parameter dictionary (all 175 rows on 'Test Parameters')</t>
        </is>
      </c>
      <c r="B10" s="5" t="inlineStr">
        <is>
          <t>Carried over from your own workbook</t>
        </is>
      </c>
      <c r="C10" s="5" t="inlineStr">
        <is>
          <t>llm_catalog_2026-07.xlsx, sheet 'Parameters'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2026-08-06T08:14:45Z</dcterms:created>
  <dcterms:modified xmlns:dcterms="http://purl.org/dc/terms/" xmlns:xsi="http://www.w3.org/2001/XMLSchema-instance" xsi:type="dcterms:W3CDTF">2026-08-06T08:14:45Z</dcterms:modified>
</cp:coreProperties>
</file>