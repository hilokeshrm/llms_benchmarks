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tyles.xml" ContentType="application/vnd.openxmlformats-officedocument.spreadsheetml.styles+xml"/>
  <Override PartName="/xl/comments8.xml" ContentType="application/vnd.openxmlformats-officedocument.spreadsheetml.comment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9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Parameters" sheetId="2" state="visible" r:id="rId4"/>
    <sheet name="Hardware_Env" sheetId="3" state="visible" r:id="rId5"/>
    <sheet name="Run_Config" sheetId="4" state="visible" r:id="rId6"/>
    <sheet name="Models" sheetId="5" state="visible" r:id="rId7"/>
    <sheet name="Ollama_Pull_Log" sheetId="6" state="visible" r:id="rId8"/>
    <sheet name="Cost_Model" sheetId="7" state="visible" r:id="rId9"/>
    <sheet name="Perf_Results" sheetId="8" state="visible" r:id="rId10"/>
    <sheet name="Quality_Results" sheetId="9" state="visible" r:id="rId11"/>
    <sheet name="Summary" sheetId="10" state="visible" r:id="rId12"/>
  </sheets>
  <definedNames>
    <definedName function="false" hidden="true" localSheetId="4" name="_xlnm._FilterDatabase" vbProcedure="false">Models!$A$4:$R$27</definedName>
    <definedName function="false" hidden="true" localSheetId="5" name="_xlnm._FilterDatabase" vbProcedure="false">Ollama_Pull_Log!$A$4:$K$404</definedName>
    <definedName function="false" hidden="true" localSheetId="1" name="_xlnm._FilterDatabase" vbProcedure="false">Parameters!$A$4:$H$78</definedName>
    <definedName function="false" hidden="true" localSheetId="7" name="_xlnm._FilterDatabase" vbProcedure="false">Perf_Results!$A$1:$AZ$400</definedName>
    <definedName function="false" hidden="true" localSheetId="8" name="_xlnm._FilterDatabase" vbProcedure="false">Quality_Results!$A$1:$AG$300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benchmark</author>
  </authors>
  <commentList>
    <comment ref="D1" authorId="0">
      <text>
        <r>
          <rPr>
            <sz val="10"/>
            <rFont val="Arial"/>
            <family val="2"/>
          </rPr>
          <t xml:space="preserve">Always include a full-precision (BF16/FP16) baseline so quality delta is measurable.</t>
        </r>
      </text>
    </comment>
    <comment ref="Z1" authorId="0">
      <text>
        <r>
          <rPr>
            <sz val="10"/>
            <rFont val="Arial"/>
            <family val="2"/>
          </rPr>
          <t xml:space="preserve">TTFT is only meaningful in streaming mode. Non-streaming runs: leave blank.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benchmark</author>
  </authors>
  <commentList>
    <comment ref="AB1" authorId="0">
      <text>
        <r>
          <rPr>
            <sz val="10"/>
            <rFont val="Arial"/>
            <family val="2"/>
          </rPr>
          <t xml:space="preserve">Never use a model that is itself under test as the judge.</t>
        </r>
      </text>
    </comment>
    <comment ref="AE1" authorId="0">
      <text>
        <r>
          <rPr>
            <sz val="10"/>
            <rFont val="Arial"/>
            <family val="2"/>
          </rPr>
          <t xml:space="preserve">Averages the BF16 rows for the same model_key + task_name. Run a BF16 baseline or this stays blank.</t>
        </r>
      </text>
    </comment>
  </commentList>
</comments>
</file>

<file path=xl/sharedStrings.xml><?xml version="1.0" encoding="utf-8"?>
<sst xmlns="http://schemas.openxmlformats.org/spreadsheetml/2006/main" count="1406" uniqueCount="798">
  <si>
    <t xml:space="preserve">DGX LLM Benchmark - data collection workbook</t>
  </si>
  <si>
    <t xml:space="preserve">Scope</t>
  </si>
  <si>
    <t xml:space="preserve">Open-weight LLMs served locally on the DGX system. Closed models (Claude, GPT, Gemini, Grok) cannot run here - benchmark those via API in a separate workbook.</t>
  </si>
  <si>
    <t xml:space="preserve">HOW TO USE</t>
  </si>
  <si>
    <t xml:space="preserve">1.</t>
  </si>
  <si>
    <t xml:space="preserve">Fill Hardware_Env once per system/software-stack change. Every yellow cell is an input.</t>
  </si>
  <si>
    <t xml:space="preserve">2.</t>
  </si>
  <si>
    <t xml:space="preserve">Fill Run_Config once per benchmark campaign. It holds the fixed experiment controls and the SLA thresholds.</t>
  </si>
  <si>
    <t xml:space="preserve">3.</t>
  </si>
  <si>
    <t xml:space="preserve">Fill Cost_Model with your real capex/power numbers. It derives $/GPU-hour, which Perf_Results uses for $/1M tokens.</t>
  </si>
  <si>
    <t xml:space="preserve">4.</t>
  </si>
  <si>
    <t xml:space="preserve">Curate Models - one row per model+variant you intend to run. model_key is the join key used by every other sheet.</t>
  </si>
  <si>
    <t xml:space="preserve">5.</t>
  </si>
  <si>
    <t xml:space="preserve">Perf_Results and Quality_Results are appended by the runner script. Do not type in the black formula columns.</t>
  </si>
  <si>
    <t xml:space="preserve">5a.</t>
  </si>
  <si>
    <t xml:space="preserve">Ollama runs: `python run_ollama_bench.py --check` first to resolve tags, then `--priority P0 --pull`. Ollama = llama.cpp = layer-split GGUF; its throughput is well below vLLM/TensorRT-LLM on the same weights. serving_stack marks every row, so never compare an Ollama row against a vLLM row as if it were the same system.</t>
  </si>
  <si>
    <t xml:space="preserve">6.</t>
  </si>
  <si>
    <t xml:space="preserve">Summary and Cost_Model roll up automatically. Refresh/recalculate after new rows land.</t>
  </si>
  <si>
    <t xml:space="preserve">COLOUR LEGEND</t>
  </si>
  <si>
    <t xml:space="preserve">Yellow fill + blue text</t>
  </si>
  <si>
    <t xml:space="preserve">You fill this in. Hardcoded input.</t>
  </si>
  <si>
    <t xml:space="preserve">Black text</t>
  </si>
  <si>
    <t xml:space="preserve">Formula - do not overwrite.</t>
  </si>
  <si>
    <t xml:space="preserve">Green text</t>
  </si>
  <si>
    <t xml:space="preserve">Link to another sheet in this workbook.</t>
  </si>
  <si>
    <t xml:space="preserve">Grey italic row</t>
  </si>
  <si>
    <t xml:space="preserve">EXAMPLE row showing the expected format. Delete it, or let the runner drop it (run_id starts with 'EXAMPLE').</t>
  </si>
  <si>
    <t xml:space="preserve">SHEETS</t>
  </si>
  <si>
    <t xml:space="preserve">Parameters</t>
  </si>
  <si>
    <t xml:space="preserve">Data dictionary - every parameter, its unit, definition and how to measure it. Read this first.</t>
  </si>
  <si>
    <t xml:space="preserve">Hardware_Env</t>
  </si>
  <si>
    <t xml:space="preserve">DGX hardware + software stack versions. Reproducibility record.</t>
  </si>
  <si>
    <t xml:space="preserve">Run_Config</t>
  </si>
  <si>
    <t xml:space="preserve">Fixed experiment controls: sweeps, sampling params, seeds, SLA thresholds.</t>
  </si>
  <si>
    <t xml:space="preserve">Models</t>
  </si>
  <si>
    <t xml:space="preserve">Model registry: provider, country, weights, quantizations planned.</t>
  </si>
  <si>
    <t xml:space="preserve">Perf_Results</t>
  </si>
  <si>
    <t xml:space="preserve">One row per load point (model x quant x TP x concurrency x ISL/OSL). Throughput, latency, GPU, power, cost.</t>
  </si>
  <si>
    <t xml:space="preserve">Quality_Results</t>
  </si>
  <si>
    <t xml:space="preserve">One row per model x task x quantization. Accuracy and behaviour metrics.</t>
  </si>
  <si>
    <t xml:space="preserve">Cost_Model</t>
  </si>
  <si>
    <t xml:space="preserve">Capex + power -&gt; $/GPU-hour -&gt; $/1M output tokens per model.</t>
  </si>
  <si>
    <t xml:space="preserve">Summary</t>
  </si>
  <si>
    <t xml:space="preserve">Per-model rollup for the final comparison table.</t>
  </si>
  <si>
    <t xml:space="preserve">RULES THAT KEEP THE NUMBERS COMPARABLE</t>
  </si>
  <si>
    <t xml:space="preserve">-</t>
  </si>
  <si>
    <t xml:space="preserve">One variable at a time. Change quantization OR TP size OR concurrency, never two at once.</t>
  </si>
  <si>
    <t xml:space="preserve">Discard warm-up requests; record warmup_requests in Run_Config.</t>
  </si>
  <si>
    <t xml:space="preserve">Report percentiles (p50/p95/p99), not means. Means hide tail latency.</t>
  </si>
  <si>
    <t xml:space="preserve">Same client machine, same dataset, same tokenizer for token counting across all models.</t>
  </si>
  <si>
    <t xml:space="preserve">Idle the GPUs between runs and record ambient conditions - thermal throttling silently skews throughput.</t>
  </si>
  <si>
    <t xml:space="preserve">Verify hf_repo_id in Models before pulling weights. Repo names drift between releases.</t>
  </si>
  <si>
    <t xml:space="preserve">Generated 2026-07-31 by build_workbook.py</t>
  </si>
  <si>
    <t xml:space="preserve">Parameter dictionary</t>
  </si>
  <si>
    <t xml:space="preserve">Every measurable parameter in this benchmark. 'Core' = collect for every run; 'Optional' = collect where relevant.</t>
  </si>
  <si>
    <t xml:space="preserve">Category</t>
  </si>
  <si>
    <t xml:space="preserve">Parameter</t>
  </si>
  <si>
    <t xml:space="preserve">Field name</t>
  </si>
  <si>
    <t xml:space="preserve">Unit</t>
  </si>
  <si>
    <t xml:space="preserve">Definition</t>
  </si>
  <si>
    <t xml:space="preserve">How to measure</t>
  </si>
  <si>
    <t xml:space="preserve">Sheet</t>
  </si>
  <si>
    <t xml:space="preserve">Priority</t>
  </si>
  <si>
    <t xml:space="preserve">Identity</t>
  </si>
  <si>
    <t xml:space="preserve">Model key</t>
  </si>
  <si>
    <t xml:space="preserve">model_key</t>
  </si>
  <si>
    <t xml:space="preserve">text</t>
  </si>
  <si>
    <t xml:space="preserve">Unique join key for a model variant.</t>
  </si>
  <si>
    <t xml:space="preserve">You define it; keep it stable.</t>
  </si>
  <si>
    <t xml:space="preserve">Core</t>
  </si>
  <si>
    <t xml:space="preserve">Provider / country</t>
  </si>
  <si>
    <t xml:space="preserve">provider / country</t>
  </si>
  <si>
    <t xml:space="preserve">Lab and country of origin - the US vs non-US split.</t>
  </si>
  <si>
    <t xml:space="preserve">Model card.</t>
  </si>
  <si>
    <t xml:space="preserve">Total / active params</t>
  </si>
  <si>
    <t xml:space="preserve">params_total_b / params_active_b</t>
  </si>
  <si>
    <t xml:space="preserve">billions</t>
  </si>
  <si>
    <t xml:space="preserve">Total weights vs params active per token (differs for MoE).</t>
  </si>
  <si>
    <t xml:space="preserve">Architecture</t>
  </si>
  <si>
    <t xml:space="preserve">architecture</t>
  </si>
  <si>
    <t xml:space="preserve">Dense or MoE; affects memory vs compute profile.</t>
  </si>
  <si>
    <t xml:space="preserve">Native context length</t>
  </si>
  <si>
    <t xml:space="preserve">native_context_len</t>
  </si>
  <si>
    <t xml:space="preserve">tokens</t>
  </si>
  <si>
    <t xml:space="preserve">Max context the model was trained/extended to.</t>
  </si>
  <si>
    <t xml:space="preserve">Model card / config.json.</t>
  </si>
  <si>
    <t xml:space="preserve">License</t>
  </si>
  <si>
    <t xml:space="preserve">license</t>
  </si>
  <si>
    <t xml:space="preserve">Commercial-use terms. Some 'open' models restrict deployment.</t>
  </si>
  <si>
    <t xml:space="preserve">Repo LICENSE.</t>
  </si>
  <si>
    <t xml:space="preserve">Serving config</t>
  </si>
  <si>
    <t xml:space="preserve">Quantization</t>
  </si>
  <si>
    <t xml:space="preserve">quantization</t>
  </si>
  <si>
    <t xml:space="preserve">enum</t>
  </si>
  <si>
    <t xml:space="preserve">Weight precision: FP16/BF16/FP8/INT8/INT4-AWQ/INT4-GPTQ/MXFP4.</t>
  </si>
  <si>
    <t xml:space="preserve">Set at load time.</t>
  </si>
  <si>
    <t xml:space="preserve">KV cache dtype</t>
  </si>
  <si>
    <t xml:space="preserve">kv_cache_dtype</t>
  </si>
  <si>
    <t xml:space="preserve">Precision of the KV cache - drives max concurrency.</t>
  </si>
  <si>
    <t xml:space="preserve">Engine flag.</t>
  </si>
  <si>
    <t xml:space="preserve">Serving stack</t>
  </si>
  <si>
    <t xml:space="preserve">serving_stack</t>
  </si>
  <si>
    <t xml:space="preserve">vLLM / TensorRT-LLM / SGLang / NIM. Same model, very different numbers.</t>
  </si>
  <si>
    <t xml:space="preserve">Record engine + version.</t>
  </si>
  <si>
    <t xml:space="preserve">Tensor parallel size</t>
  </si>
  <si>
    <t xml:space="preserve">tp_size</t>
  </si>
  <si>
    <t xml:space="preserve">count</t>
  </si>
  <si>
    <t xml:space="preserve">GPUs the model is sharded across.</t>
  </si>
  <si>
    <t xml:space="preserve">Pipeline parallel size</t>
  </si>
  <si>
    <t xml:space="preserve">pp_size</t>
  </si>
  <si>
    <t xml:space="preserve">Pipeline stages, if used.</t>
  </si>
  <si>
    <t xml:space="preserve">Optional</t>
  </si>
  <si>
    <t xml:space="preserve">Max model len</t>
  </si>
  <si>
    <t xml:space="preserve">max_model_len</t>
  </si>
  <si>
    <t xml:space="preserve">Context window the engine was started with.</t>
  </si>
  <si>
    <t xml:space="preserve">Prefix caching</t>
  </si>
  <si>
    <t xml:space="preserve">prefix_caching</t>
  </si>
  <si>
    <t xml:space="preserve">on/off</t>
  </si>
  <si>
    <t xml:space="preserve">Automatic prefix cache enabled.</t>
  </si>
  <si>
    <t xml:space="preserve">Scheduler mode</t>
  </si>
  <si>
    <t xml:space="preserve">scheduler_mode</t>
  </si>
  <si>
    <t xml:space="preserve">Continuous batching / chunked prefill settings.</t>
  </si>
  <si>
    <t xml:space="preserve">Model load time</t>
  </si>
  <si>
    <t xml:space="preserve">model_load_time_s</t>
  </si>
  <si>
    <t xml:space="preserve">s</t>
  </si>
  <si>
    <t xml:space="preserve">Cold start: process start to ready-to-serve.</t>
  </si>
  <si>
    <t xml:space="preserve">Engine log timestamps.</t>
  </si>
  <si>
    <t xml:space="preserve">Load profile</t>
  </si>
  <si>
    <t xml:space="preserve">Concurrency</t>
  </si>
  <si>
    <t xml:space="preserve">concurrency</t>
  </si>
  <si>
    <t xml:space="preserve">Simultaneous in-flight requests. Sweep it to find the knee.</t>
  </si>
  <si>
    <t xml:space="preserve">Client flag.</t>
  </si>
  <si>
    <t xml:space="preserve">Request rate</t>
  </si>
  <si>
    <t xml:space="preserve">request_rate_rps</t>
  </si>
  <si>
    <t xml:space="preserve">req/s</t>
  </si>
  <si>
    <t xml:space="preserve">Arrival rate for open-loop (Poisson) tests; blank for closed-loop.</t>
  </si>
  <si>
    <t xml:space="preserve">Input sequence length</t>
  </si>
  <si>
    <t xml:space="preserve">isl_tokens</t>
  </si>
  <si>
    <t xml:space="preserve">Prompt length. Drives prefill cost.</t>
  </si>
  <si>
    <t xml:space="preserve">Dataset / synthetic generator.</t>
  </si>
  <si>
    <t xml:space="preserve">Output sequence length</t>
  </si>
  <si>
    <t xml:space="preserve">osl_tokens</t>
  </si>
  <si>
    <t xml:space="preserve">Generated length. Drives decode cost.</t>
  </si>
  <si>
    <t xml:space="preserve">max_tokens + ignore_eos.</t>
  </si>
  <si>
    <t xml:space="preserve">Number of requests</t>
  </si>
  <si>
    <t xml:space="preserve">num_requests</t>
  </si>
  <si>
    <t xml:space="preserve">Requests in the measurement window (excl. warm-up).</t>
  </si>
  <si>
    <t xml:space="preserve">Run duration</t>
  </si>
  <si>
    <t xml:space="preserve">duration_s</t>
  </si>
  <si>
    <t xml:space="preserve">Wall-clock of the measurement window.</t>
  </si>
  <si>
    <t xml:space="preserve">Client output.</t>
  </si>
  <si>
    <t xml:space="preserve">Latency</t>
  </si>
  <si>
    <t xml:space="preserve">TTFT p50 / p95 / p99</t>
  </si>
  <si>
    <t xml:space="preserve">ttft_p50_ms / p95 / p99</t>
  </si>
  <si>
    <t xml:space="preserve">ms</t>
  </si>
  <si>
    <t xml:space="preserve">Time to first token. The number users feel first.</t>
  </si>
  <si>
    <t xml:space="preserve">Client, streaming mode only.</t>
  </si>
  <si>
    <t xml:space="preserve">TPOT p50 / p99</t>
  </si>
  <si>
    <t xml:space="preserve">tpot_p50_ms / p99</t>
  </si>
  <si>
    <t xml:space="preserve">Time per output token after the first. Perceived typing speed.</t>
  </si>
  <si>
    <t xml:space="preserve">Client.</t>
  </si>
  <si>
    <t xml:space="preserve">Inter-token latency</t>
  </si>
  <si>
    <t xml:space="preserve">itl_p50_ms</t>
  </si>
  <si>
    <t xml:space="preserve">Gap between consecutive tokens; exposes scheduler stalls.</t>
  </si>
  <si>
    <t xml:space="preserve">End-to-end p50/p95/p99</t>
  </si>
  <si>
    <t xml:space="preserve">e2e_p50_ms / p95 / p99</t>
  </si>
  <si>
    <t xml:space="preserve">Request submit to last token.</t>
  </si>
  <si>
    <t xml:space="preserve">Throughput</t>
  </si>
  <si>
    <t xml:space="preserve">Per-request output rate</t>
  </si>
  <si>
    <t xml:space="preserve">output_tps_per_request</t>
  </si>
  <si>
    <t xml:space="preserve">tok/s</t>
  </si>
  <si>
    <t xml:space="preserve">Decode speed a single user sees.</t>
  </si>
  <si>
    <t xml:space="preserve">Total output throughput</t>
  </si>
  <si>
    <t xml:space="preserve">total_output_tps</t>
  </si>
  <si>
    <t xml:space="preserve">System-wide generated tokens/s. The capacity number.</t>
  </si>
  <si>
    <t xml:space="preserve">Total throughput</t>
  </si>
  <si>
    <t xml:space="preserve">total_throughput_tps</t>
  </si>
  <si>
    <t xml:space="preserve">Input + output tokens/s. Comparable across ISL/OSL mixes.</t>
  </si>
  <si>
    <t xml:space="preserve">Requests per second</t>
  </si>
  <si>
    <t xml:space="preserve">requests_per_s</t>
  </si>
  <si>
    <t xml:space="preserve">Completed requests/s at this load point.</t>
  </si>
  <si>
    <t xml:space="preserve">Output tok/s per GPU</t>
  </si>
  <si>
    <t xml:space="preserve">output_tps_per_gpu</t>
  </si>
  <si>
    <t xml:space="preserve">Normalises throughput by GPUs used. Derived.</t>
  </si>
  <si>
    <t xml:space="preserve">Formula.</t>
  </si>
  <si>
    <t xml:space="preserve">Resource</t>
  </si>
  <si>
    <t xml:space="preserve">Peak GPU memory</t>
  </si>
  <si>
    <t xml:space="preserve">gpu_mem_peak_gb</t>
  </si>
  <si>
    <t xml:space="preserve">GB</t>
  </si>
  <si>
    <t xml:space="preserve">Highest per-GPU memory (weights + KV + activations). Sets max concurrency.</t>
  </si>
  <si>
    <t xml:space="preserve">nvidia-smi / DCGM peak sample.</t>
  </si>
  <si>
    <t xml:space="preserve">Avg GPU utilisation</t>
  </si>
  <si>
    <t xml:space="preserve">gpu_util_avg_pct</t>
  </si>
  <si>
    <t xml:space="preserve">%</t>
  </si>
  <si>
    <t xml:space="preserve">Mean SM utilisation across the window. Low = client- or memory-bound.</t>
  </si>
  <si>
    <t xml:space="preserve">DCGM / nvidia-smi dmon.</t>
  </si>
  <si>
    <t xml:space="preserve">Avg / peak power</t>
  </si>
  <si>
    <t xml:space="preserve">gpu_power_avg_w / peak_w</t>
  </si>
  <si>
    <t xml:space="preserve">W</t>
  </si>
  <si>
    <t xml:space="preserve">Board power summed over GPUs in use.</t>
  </si>
  <si>
    <t xml:space="preserve">DCGM DCGM_FI_DEV_POWER_USAGE.</t>
  </si>
  <si>
    <t xml:space="preserve">Energy consumed</t>
  </si>
  <si>
    <t xml:space="preserve">energy_wh</t>
  </si>
  <si>
    <t xml:space="preserve">Wh</t>
  </si>
  <si>
    <t xml:space="preserve">avg power x duration. Derived.</t>
  </si>
  <si>
    <t xml:space="preserve">Tokens per joule</t>
  </si>
  <si>
    <t xml:space="preserve">tokens_per_joule</t>
  </si>
  <si>
    <t xml:space="preserve">tok/J</t>
  </si>
  <si>
    <t xml:space="preserve">Energy efficiency. Derived.</t>
  </si>
  <si>
    <t xml:space="preserve">Energy per 1k tokens</t>
  </si>
  <si>
    <t xml:space="preserve">energy_per_1k_out_tokens_wh</t>
  </si>
  <si>
    <t xml:space="preserve">Sustainability reporting figure. Derived.</t>
  </si>
  <si>
    <t xml:space="preserve">Prefix cache hit rate</t>
  </si>
  <si>
    <t xml:space="preserve">prefix_cache_hit_pct</t>
  </si>
  <si>
    <t xml:space="preserve">Share of prefill tokens served from cache.</t>
  </si>
  <si>
    <t xml:space="preserve">Engine metrics endpoint.</t>
  </si>
  <si>
    <t xml:space="preserve">Reliability</t>
  </si>
  <si>
    <t xml:space="preserve">Completed / failed</t>
  </si>
  <si>
    <t xml:space="preserve">completed_requests / failed_requests</t>
  </si>
  <si>
    <t xml:space="preserve">Successful vs errored requests in the window.</t>
  </si>
  <si>
    <t xml:space="preserve">Error rate</t>
  </si>
  <si>
    <t xml:space="preserve">error_rate_pct</t>
  </si>
  <si>
    <t xml:space="preserve">failed / (completed + failed). Derived.</t>
  </si>
  <si>
    <t xml:space="preserve">Meets TTFT SLA</t>
  </si>
  <si>
    <t xml:space="preserve">meets_ttft_sla</t>
  </si>
  <si>
    <t xml:space="preserve">PASS/FAIL</t>
  </si>
  <si>
    <t xml:space="preserve">ttft_p95 vs the threshold in Run_Config. Derived.</t>
  </si>
  <si>
    <t xml:space="preserve">Meets per-user TPS SLA</t>
  </si>
  <si>
    <t xml:space="preserve">meets_tps_sla</t>
  </si>
  <si>
    <t xml:space="preserve">output_tps_per_request vs threshold. Together these give goodput.</t>
  </si>
  <si>
    <t xml:space="preserve">Cost</t>
  </si>
  <si>
    <t xml:space="preserve">Cost per 1M output tokens</t>
  </si>
  <si>
    <t xml:space="preserve">cost_per_1m_out_usd</t>
  </si>
  <si>
    <t xml:space="preserve">USD</t>
  </si>
  <si>
    <t xml:space="preserve">GPU-hours consumed x $/GPU-hour, per 1M tokens. Derived.</t>
  </si>
  <si>
    <t xml:space="preserve">Formula, uses Cost_Model.</t>
  </si>
  <si>
    <t xml:space="preserve">System capex</t>
  </si>
  <si>
    <t xml:space="preserve">system_capex_usd</t>
  </si>
  <si>
    <t xml:space="preserve">Purchase price of the DGX system.</t>
  </si>
  <si>
    <t xml:space="preserve">Invoice.</t>
  </si>
  <si>
    <t xml:space="preserve">Amortisation period</t>
  </si>
  <si>
    <t xml:space="preserve">amortisation_years</t>
  </si>
  <si>
    <t xml:space="preserve">years</t>
  </si>
  <si>
    <t xml:space="preserve">Depreciation window.</t>
  </si>
  <si>
    <t xml:space="preserve">Finance policy.</t>
  </si>
  <si>
    <t xml:space="preserve">Annual utilisation</t>
  </si>
  <si>
    <t xml:space="preserve">annual_utilisation</t>
  </si>
  <si>
    <t xml:space="preserve">Fraction of the year the GPUs are actually serving.</t>
  </si>
  <si>
    <t xml:space="preserve">Estimate or measure.</t>
  </si>
  <si>
    <t xml:space="preserve">System power draw</t>
  </si>
  <si>
    <t xml:space="preserve">system_power_kw</t>
  </si>
  <si>
    <t xml:space="preserve">kW</t>
  </si>
  <si>
    <t xml:space="preserve">Sustained wall power of the whole system under load.</t>
  </si>
  <si>
    <t xml:space="preserve">PDU reading.</t>
  </si>
  <si>
    <t xml:space="preserve">PUE</t>
  </si>
  <si>
    <t xml:space="preserve">pue</t>
  </si>
  <si>
    <t xml:space="preserve">ratio</t>
  </si>
  <si>
    <t xml:space="preserve">Datacentre power usage effectiveness (1.0 = perfect).</t>
  </si>
  <si>
    <t xml:space="preserve">Facilities.</t>
  </si>
  <si>
    <t xml:space="preserve">Electricity price</t>
  </si>
  <si>
    <t xml:space="preserve">electricity_usd_per_kwh</t>
  </si>
  <si>
    <t xml:space="preserve">USD/kWh</t>
  </si>
  <si>
    <t xml:space="preserve">Blended tariff.</t>
  </si>
  <si>
    <t xml:space="preserve">Utility bill.</t>
  </si>
  <si>
    <t xml:space="preserve">Derived $/GPU-hour</t>
  </si>
  <si>
    <t xml:space="preserve">cost_per_gpu_hour_usd</t>
  </si>
  <si>
    <t xml:space="preserve">All-in amortised cost of one GPU for one hour. Derived.</t>
  </si>
  <si>
    <t xml:space="preserve">Break-even vs API</t>
  </si>
  <si>
    <t xml:space="preserve">Compare cost_per_1m_out_usd against the API price of the closest closed model.</t>
  </si>
  <si>
    <t xml:space="preserve">Manual comparison.</t>
  </si>
  <si>
    <t xml:space="preserve">Quality</t>
  </si>
  <si>
    <t xml:space="preserve">Task accuracy</t>
  </si>
  <si>
    <t xml:space="preserve">score_mean</t>
  </si>
  <si>
    <t xml:space="preserve">varies</t>
  </si>
  <si>
    <t xml:space="preserve">Primary metric for the task suite (accuracy, pass@1, F1, ...).</t>
  </si>
  <si>
    <t xml:space="preserve">lm-eval-harness / OpenCompass / custom.</t>
  </si>
  <si>
    <t xml:space="preserve">Score dispersion</t>
  </si>
  <si>
    <t xml:space="preserve">score_stdev / score_ci95_halfwidth</t>
  </si>
  <si>
    <t xml:space="preserve">same</t>
  </si>
  <si>
    <t xml:space="preserve">Stdev over every graded item (not over repeats). CI uses sqrt(n_samples x repeats). At n=100 and a score near 70%, the 95% CI is about +/-9 points - two models inside that band are tied.</t>
  </si>
  <si>
    <t xml:space="preserve">Runner computes it; grow n_samples to narrow it.</t>
  </si>
  <si>
    <t xml:space="preserve">pass@1</t>
  </si>
  <si>
    <t xml:space="preserve">pass_at_1</t>
  </si>
  <si>
    <t xml:space="preserve">Coding: fraction solved on the first attempt.</t>
  </si>
  <si>
    <t xml:space="preserve">HumanEval+ / MBPP+ / SWE-bench.</t>
  </si>
  <si>
    <t xml:space="preserve">Instruction compliance</t>
  </si>
  <si>
    <t xml:space="preserve">instruction_compliance_pct</t>
  </si>
  <si>
    <t xml:space="preserve">Verifiable-constraint adherence.</t>
  </si>
  <si>
    <t xml:space="preserve">IFEval-style checker.</t>
  </si>
  <si>
    <t xml:space="preserve">Valid JSON rate</t>
  </si>
  <si>
    <t xml:space="preserve">valid_json_rate_pct</t>
  </si>
  <si>
    <t xml:space="preserve">Parses and validates against the schema.</t>
  </si>
  <si>
    <t xml:space="preserve">Schema validator.</t>
  </si>
  <si>
    <t xml:space="preserve">Refusal rate</t>
  </si>
  <si>
    <t xml:space="preserve">refusal_rate_pct</t>
  </si>
  <si>
    <t xml:space="preserve">Refusals on benign prompts - the over-refusal tax.</t>
  </si>
  <si>
    <t xml:space="preserve">Classifier + human check.</t>
  </si>
  <si>
    <t xml:space="preserve">Hallucination rate</t>
  </si>
  <si>
    <t xml:space="preserve">hallucination_rate_pct</t>
  </si>
  <si>
    <t xml:space="preserve">Unsupported claims / wrong answers on unanswerable questions.</t>
  </si>
  <si>
    <t xml:space="preserve">Grounded QA set + judge.</t>
  </si>
  <si>
    <t xml:space="preserve">Language</t>
  </si>
  <si>
    <t xml:space="preserve">language</t>
  </si>
  <si>
    <t xml:space="preserve">Per-language score. Non-US models often lead on their home languages.</t>
  </si>
  <si>
    <t xml:space="preserve">Split the suite by language.</t>
  </si>
  <si>
    <t xml:space="preserve">Long-context retrieval</t>
  </si>
  <si>
    <t xml:space="preserve">task_name = needle_*</t>
  </si>
  <si>
    <t xml:space="preserve">Retrieval accuracy at 8k/32k/128k/512k. Report the degradation curve.</t>
  </si>
  <si>
    <t xml:space="preserve">NIAH / RULER.</t>
  </si>
  <si>
    <t xml:space="preserve">Tool-calling accuracy</t>
  </si>
  <si>
    <t xml:space="preserve">task_name = tool_*</t>
  </si>
  <si>
    <t xml:space="preserve">Right tool chosen, arguments well-formed, multi-step completion.</t>
  </si>
  <si>
    <t xml:space="preserve">BFCL / custom harness.</t>
  </si>
  <si>
    <t xml:space="preserve">Quantization delta</t>
  </si>
  <si>
    <t xml:space="preserve">delta_vs_fp16_pct</t>
  </si>
  <si>
    <t xml:space="preserve">Quality lost vs the FP16 baseline of the same model. Derived.</t>
  </si>
  <si>
    <t xml:space="preserve">Judge model</t>
  </si>
  <si>
    <t xml:space="preserve">judge_model</t>
  </si>
  <si>
    <t xml:space="preserve">Model used for LLM-as-judge scoring. Must NOT be a contestant.</t>
  </si>
  <si>
    <t xml:space="preserve">Record it.</t>
  </si>
  <si>
    <t xml:space="preserve">Avg output tokens</t>
  </si>
  <si>
    <t xml:space="preserve">avg_output_tokens</t>
  </si>
  <si>
    <t xml:space="preserve">Verbosity. A model that answers in 3x the tokens costs 3x.</t>
  </si>
  <si>
    <t xml:space="preserve">Harness.</t>
  </si>
  <si>
    <t xml:space="preserve">Controls</t>
  </si>
  <si>
    <t xml:space="preserve">Temperature / top_p / top_k</t>
  </si>
  <si>
    <t xml:space="preserve">temperature / top_p / top_k</t>
  </si>
  <si>
    <t xml:space="preserve">Sampling. Use 0 for accuracy runs; hold identical across models.</t>
  </si>
  <si>
    <t xml:space="preserve">Run_Config.</t>
  </si>
  <si>
    <t xml:space="preserve">Seed</t>
  </si>
  <si>
    <t xml:space="preserve">seed</t>
  </si>
  <si>
    <t xml:space="preserve">int</t>
  </si>
  <si>
    <t xml:space="preserve">Fixed seed where the engine supports it.</t>
  </si>
  <si>
    <t xml:space="preserve">Repeats</t>
  </si>
  <si>
    <t xml:space="preserve">measurement_repeats</t>
  </si>
  <si>
    <t xml:space="preserve">Runs per configuration. &gt;= 5 for anything you will quote.</t>
  </si>
  <si>
    <t xml:space="preserve">Warm-up requests</t>
  </si>
  <si>
    <t xml:space="preserve">warmup_requests</t>
  </si>
  <si>
    <t xml:space="preserve">Discarded before measuring. Non-zero always.</t>
  </si>
  <si>
    <t xml:space="preserve">Tokenizer for counting</t>
  </si>
  <si>
    <t xml:space="preserve">tokenizer_for_counting</t>
  </si>
  <si>
    <t xml:space="preserve">Token counts differ per tokenizer - fix one for cross-model cost maths.</t>
  </si>
  <si>
    <t xml:space="preserve">SLA thresholds</t>
  </si>
  <si>
    <t xml:space="preserve">sla_*</t>
  </si>
  <si>
    <t xml:space="preserve">ms / tok/s</t>
  </si>
  <si>
    <t xml:space="preserve">Define goodput before you run, not after you see the data.</t>
  </si>
  <si>
    <t xml:space="preserve">Environment</t>
  </si>
  <si>
    <t xml:space="preserve">GPU model / count</t>
  </si>
  <si>
    <t xml:space="preserve">gpu_model / gpu_count</t>
  </si>
  <si>
    <t xml:space="preserve">e.g. 8x H100 80GB SXM.</t>
  </si>
  <si>
    <t xml:space="preserve">nvidia-smi.</t>
  </si>
  <si>
    <t xml:space="preserve">Driver / CUDA</t>
  </si>
  <si>
    <t xml:space="preserve">nvidia_driver / cuda_version</t>
  </si>
  <si>
    <t xml:space="preserve">Reproducibility. Perf shifts across driver versions.</t>
  </si>
  <si>
    <t xml:space="preserve">Engine versions</t>
  </si>
  <si>
    <t xml:space="preserve">vllm_version / trtllm_version / sglang_version</t>
  </si>
  <si>
    <t xml:space="preserve">Pin them. Throughput changes release to release.</t>
  </si>
  <si>
    <t xml:space="preserve">pip show / container tag.</t>
  </si>
  <si>
    <t xml:space="preserve">Interconnect</t>
  </si>
  <si>
    <t xml:space="preserve">nvlink_nvswitch</t>
  </si>
  <si>
    <t xml:space="preserve">NVLink/NVSwitch topology - dominates multi-GPU TP scaling.</t>
  </si>
  <si>
    <t xml:space="preserve">nvidia-smi topo -m.</t>
  </si>
  <si>
    <t xml:space="preserve">Power cap</t>
  </si>
  <si>
    <t xml:space="preserve">gpu_power_cap_w</t>
  </si>
  <si>
    <t xml:space="preserve">Capped GPUs invalidate cross-system comparisons.</t>
  </si>
  <si>
    <t xml:space="preserve">nvidia-smi -q -d POWER.</t>
  </si>
  <si>
    <t xml:space="preserve">Hardware &amp; software environment</t>
  </si>
  <si>
    <t xml:space="preserve">Fill once per system or stack change. Every number in Perf_Results is only meaningful alongside this.</t>
  </si>
  <si>
    <t xml:space="preserve">Field</t>
  </si>
  <si>
    <t xml:space="preserve">Value</t>
  </si>
  <si>
    <t xml:space="preserve">Notes / how to obtain</t>
  </si>
  <si>
    <t xml:space="preserve">System</t>
  </si>
  <si>
    <t xml:space="preserve">dgx_system_model</t>
  </si>
  <si>
    <t xml:space="preserve">e.g. DGX H100 / DGX A100 / DGX B200 / DGX Spark</t>
  </si>
  <si>
    <t xml:space="preserve">hostname</t>
  </si>
  <si>
    <t xml:space="preserve">Node identifier.</t>
  </si>
  <si>
    <t xml:space="preserve">gpu_model</t>
  </si>
  <si>
    <t xml:space="preserve">nvidia-smi --query-gpu=name --format=csv</t>
  </si>
  <si>
    <t xml:space="preserve">gpu_count</t>
  </si>
  <si>
    <t xml:space="preserve">GPUs physically present in the node.</t>
  </si>
  <si>
    <t xml:space="preserve">gpu_memory_gb_each</t>
  </si>
  <si>
    <t xml:space="preserve">e.g. 80 for H100 SXM.</t>
  </si>
  <si>
    <t xml:space="preserve">nvidia-smi topo -m - record NVLink generation / NVSwitch presence.</t>
  </si>
  <si>
    <t xml:space="preserve">nvidia-smi -q -d POWER. Note if it differs from the default.</t>
  </si>
  <si>
    <t xml:space="preserve">cpu_model</t>
  </si>
  <si>
    <t xml:space="preserve">lscpu</t>
  </si>
  <si>
    <t xml:space="preserve">cpu_cores</t>
  </si>
  <si>
    <t xml:space="preserve">Physical cores.</t>
  </si>
  <si>
    <t xml:space="preserve">system_ram_gb</t>
  </si>
  <si>
    <t xml:space="preserve">free -g</t>
  </si>
  <si>
    <t xml:space="preserve">storage_type</t>
  </si>
  <si>
    <t xml:space="preserve">NVMe local / NFS - affects model load time only.</t>
  </si>
  <si>
    <t xml:space="preserve">network</t>
  </si>
  <si>
    <t xml:space="preserve">InfiniBand / Ethernet, speed. Matters for multi-node only.</t>
  </si>
  <si>
    <t xml:space="preserve">Software</t>
  </si>
  <si>
    <t xml:space="preserve">os_version</t>
  </si>
  <si>
    <t xml:space="preserve">cat /etc/os-release</t>
  </si>
  <si>
    <t xml:space="preserve">kernel</t>
  </si>
  <si>
    <t xml:space="preserve">uname -r</t>
  </si>
  <si>
    <t xml:space="preserve">nvidia_driver</t>
  </si>
  <si>
    <t xml:space="preserve">nvidia-smi --query-gpu=driver_version --format=csv</t>
  </si>
  <si>
    <t xml:space="preserve">cuda_version</t>
  </si>
  <si>
    <t xml:space="preserve">nvcc --version or nvidia-smi header</t>
  </si>
  <si>
    <t xml:space="preserve">container_image</t>
  </si>
  <si>
    <t xml:space="preserve">Full image tag, e.g. nvcr.io/nvidia/tritonserver:xx.yy-py3</t>
  </si>
  <si>
    <t xml:space="preserve">python_version</t>
  </si>
  <si>
    <t xml:space="preserve">python -V</t>
  </si>
  <si>
    <t xml:space="preserve">torch_version</t>
  </si>
  <si>
    <t xml:space="preserve">pip show torch</t>
  </si>
  <si>
    <t xml:space="preserve">vllm_version</t>
  </si>
  <si>
    <t xml:space="preserve">pip show vllm</t>
  </si>
  <si>
    <t xml:space="preserve">trtllm_version</t>
  </si>
  <si>
    <t xml:space="preserve">pip show tensorrt_llm</t>
  </si>
  <si>
    <t xml:space="preserve">sglang_version</t>
  </si>
  <si>
    <t xml:space="preserve">pip show sglang</t>
  </si>
  <si>
    <t xml:space="preserve">nim_version</t>
  </si>
  <si>
    <t xml:space="preserve">If serving via NVIDIA NIM.</t>
  </si>
  <si>
    <t xml:space="preserve">dcgm_version</t>
  </si>
  <si>
    <t xml:space="preserve">dcgmi --version - used for power/util sampling.</t>
  </si>
  <si>
    <t xml:space="preserve">client_tool</t>
  </si>
  <si>
    <t xml:space="preserve">genai-perf / vllm bench serve / custom asyncio client + version.</t>
  </si>
  <si>
    <t xml:space="preserve">Ollama runtime (auto-filled by run_ollama_bench.py)</t>
  </si>
  <si>
    <t xml:space="preserve">ollama_version</t>
  </si>
  <si>
    <t xml:space="preserve">ollama --version</t>
  </si>
  <si>
    <t xml:space="preserve">ollama_host</t>
  </si>
  <si>
    <t xml:space="preserve">http://localhost:11434</t>
  </si>
  <si>
    <t xml:space="preserve">url</t>
  </si>
  <si>
    <t xml:space="preserve">Endpoint the client hits.</t>
  </si>
  <si>
    <t xml:space="preserve">OLLAMA_NUM_PARALLEL</t>
  </si>
  <si>
    <t xml:space="preserve">CRITICAL: caps real concurrency. Requests above this queue, inflating TTFT. Set it &gt;= your max concurrency or the sweep measures queueing, not the model.</t>
  </si>
  <si>
    <t xml:space="preserve">OLLAMA_MAX_LOADED_MODELS</t>
  </si>
  <si>
    <t xml:space="preserve">Keep at 1 while benchmarking so one model owns the GPUs.</t>
  </si>
  <si>
    <t xml:space="preserve">OLLAMA_KEEP_ALIVE</t>
  </si>
  <si>
    <t xml:space="preserve">Model residency. Use 30m+ so reloads do not pollute timings.</t>
  </si>
  <si>
    <t xml:space="preserve">OLLAMA_FLASH_ATTENTION</t>
  </si>
  <si>
    <t xml:space="preserve">0/1</t>
  </si>
  <si>
    <t xml:space="preserve">Changes throughput materially. Record it.</t>
  </si>
  <si>
    <t xml:space="preserve">OLLAMA_KV_CACHE_TYPE</t>
  </si>
  <si>
    <t xml:space="preserve">f16 / q8_0 / q4_0 - KV cache quantization.</t>
  </si>
  <si>
    <t xml:space="preserve">OLLAMA_SCHED_SPREAD</t>
  </si>
  <si>
    <t xml:space="preserve">1 = spread layers across all GPUs rather than packing.</t>
  </si>
  <si>
    <t xml:space="preserve">OLLAMA_GPU_OVERHEAD</t>
  </si>
  <si>
    <t xml:space="preserve">bytes</t>
  </si>
  <si>
    <t xml:space="preserve">Reserved VRAM per GPU, if set.</t>
  </si>
  <si>
    <t xml:space="preserve">Conditions</t>
  </si>
  <si>
    <t xml:space="preserve">ambient_temp_c</t>
  </si>
  <si>
    <t xml:space="preserve">C</t>
  </si>
  <si>
    <t xml:space="preserve">Record it - thermal throttling silently caps sustained throughput.</t>
  </si>
  <si>
    <t xml:space="preserve">gpus_idle_before_run</t>
  </si>
  <si>
    <t xml:space="preserve">Y/N</t>
  </si>
  <si>
    <t xml:space="preserve">Confirm no other workload shared the GPUs.</t>
  </si>
  <si>
    <t xml:space="preserve">mig_enabled</t>
  </si>
  <si>
    <t xml:space="preserve">MIG partitioning changes everything; note the profile if on.</t>
  </si>
  <si>
    <t xml:space="preserve">notes</t>
  </si>
  <si>
    <t xml:space="preserve">Anything else that would stop someone reproducing these numbers.</t>
  </si>
  <si>
    <t xml:space="preserve">Run configuration - fixed experiment controls</t>
  </si>
  <si>
    <t xml:space="preserve">Set these once per campaign and do not change them mid-way. Changing a control invalidates cross-model comparison.</t>
  </si>
  <si>
    <t xml:space="preserve">Campaign</t>
  </si>
  <si>
    <t xml:space="preserve">benchmark_name</t>
  </si>
  <si>
    <t xml:space="preserve">DGX open-weight LLM benchmark v1</t>
  </si>
  <si>
    <t xml:space="preserve">Free text.</t>
  </si>
  <si>
    <t xml:space="preserve">owner</t>
  </si>
  <si>
    <t xml:space="preserve">Who ran it.</t>
  </si>
  <si>
    <t xml:space="preserve">date_start</t>
  </si>
  <si>
    <t xml:space="preserve">date</t>
  </si>
  <si>
    <t xml:space="preserve">First measurement.</t>
  </si>
  <si>
    <t xml:space="preserve">date_end</t>
  </si>
  <si>
    <t xml:space="preserve">Last measurement.</t>
  </si>
  <si>
    <t xml:space="preserve">Sweeps</t>
  </si>
  <si>
    <t xml:space="preserve">concurrency_sweep</t>
  </si>
  <si>
    <t xml:space="preserve">1,2,4,8,16,32,64,128</t>
  </si>
  <si>
    <t xml:space="preserve">list</t>
  </si>
  <si>
    <t xml:space="preserve">Load points. The knee between throughput and latency is the finding.</t>
  </si>
  <si>
    <t xml:space="preserve">isl_osl_pairs</t>
  </si>
  <si>
    <t xml:space="preserve">128/128, 2048/256, 8192/1024, 32768/2048</t>
  </si>
  <si>
    <t xml:space="preserve">Input/output token pairs. Short-prompt and long-prompt regimes behave very differently.</t>
  </si>
  <si>
    <t xml:space="preserve">quantizations_under_test</t>
  </si>
  <si>
    <t xml:space="preserve">BF16, FP8, INT4-AWQ</t>
  </si>
  <si>
    <t xml:space="preserve">Always include a full-precision baseline to measure the quality delta against.</t>
  </si>
  <si>
    <t xml:space="preserve">tp_sizes_under_test</t>
  </si>
  <si>
    <t xml:space="preserve">1,2,4,8</t>
  </si>
  <si>
    <t xml:space="preserve">Tensor-parallel sizes to sweep for scaling efficiency.</t>
  </si>
  <si>
    <t xml:space="preserve">serving_stacks_under_test</t>
  </si>
  <si>
    <t xml:space="preserve">vLLM, TensorRT-LLM</t>
  </si>
  <si>
    <t xml:space="preserve">Same model on two stacks is a fair and very revealing comparison.</t>
  </si>
  <si>
    <t xml:space="preserve">Sampling parameters</t>
  </si>
  <si>
    <t xml:space="preserve">temperature_accuracy_runs</t>
  </si>
  <si>
    <t xml:space="preserve">Use 0 (greedy) for accuracy. Non-zero makes runs unreproducible.</t>
  </si>
  <si>
    <t xml:space="preserve">temperature_creative_runs</t>
  </si>
  <si>
    <t xml:space="preserve">Only for open-ended generation quality.</t>
  </si>
  <si>
    <t xml:space="preserve">top_p</t>
  </si>
  <si>
    <t xml:space="preserve">Hold identical across all models.</t>
  </si>
  <si>
    <t xml:space="preserve">top_k</t>
  </si>
  <si>
    <t xml:space="preserve">-1 / 0 = disabled, engine dependent.</t>
  </si>
  <si>
    <t xml:space="preserve">max_output_tokens</t>
  </si>
  <si>
    <t xml:space="preserve">Cap. For perf runs pair with ignore_eos so OSL is exact.</t>
  </si>
  <si>
    <t xml:space="preserve">Where the engine supports it.</t>
  </si>
  <si>
    <t xml:space="preserve">ignore_eos_for_perf</t>
  </si>
  <si>
    <t xml:space="preserve">Y</t>
  </si>
  <si>
    <t xml:space="preserve">Forces the exact output length - essential for clean throughput numbers.</t>
  </si>
  <si>
    <t xml:space="preserve">Measurement discipline</t>
  </si>
  <si>
    <t xml:space="preserve">Discarded. Never zero - the first requests pay compile/cache costs.</t>
  </si>
  <si>
    <t xml:space="preserve">Runs per configuration. Report p50 and spread across repeats.</t>
  </si>
  <si>
    <t xml:space="preserve">cooldown_between_runs_s</t>
  </si>
  <si>
    <t xml:space="preserve">Let the GPUs return to idle temperature.</t>
  </si>
  <si>
    <t xml:space="preserve">dataset_source</t>
  </si>
  <si>
    <t xml:space="preserve">ShareGPT + synthetic fixed-length</t>
  </si>
  <si>
    <t xml:space="preserve">Fixed-length synthetic for clean perf; real traces for realistic mixes.</t>
  </si>
  <si>
    <t xml:space="preserve">One tokenizer for all cost maths, or per-model counts are not comparable.</t>
  </si>
  <si>
    <t xml:space="preserve">metrics_sampling_interval_s</t>
  </si>
  <si>
    <t xml:space="preserve">DCGM/nvidia-smi polling rate for power and utilisation.</t>
  </si>
  <si>
    <t xml:space="preserve">SLA thresholds (define before running)</t>
  </si>
  <si>
    <t xml:space="preserve">sla_ttft_p95_ms</t>
  </si>
  <si>
    <t xml:space="preserve">Interactive chat budget. Drives meets_ttft_sla.</t>
  </si>
  <si>
    <t xml:space="preserve">sla_tpot_p99_ms</t>
  </si>
  <si>
    <t xml:space="preserve">Per-token budget (~20 tok/s felt speed).</t>
  </si>
  <si>
    <t xml:space="preserve">sla_min_output_tps_per_user</t>
  </si>
  <si>
    <t xml:space="preserve">Minimum acceptable per-user generation speed. Drives meets_tps_sla.</t>
  </si>
  <si>
    <t xml:space="preserve">sla_max_error_rate_pct</t>
  </si>
  <si>
    <t xml:space="preserve">Above this the load point does not count as served.</t>
  </si>
  <si>
    <t xml:space="preserve">Model registry - open-weight models runnable on the DGX</t>
  </si>
  <si>
    <t xml:space="preserve">Closed models (Claude, GPT, Gemini, Grok) are API-only and deliberately absent. Verify hf_repo_id against Hugging Face before pulling - repo names drift between releases.</t>
  </si>
  <si>
    <t xml:space="preserve">display_name</t>
  </si>
  <si>
    <t xml:space="preserve">provider</t>
  </si>
  <si>
    <t xml:space="preserve">country</t>
  </si>
  <si>
    <t xml:space="preserve">bloc</t>
  </si>
  <si>
    <t xml:space="preserve">open_weights</t>
  </si>
  <si>
    <t xml:space="preserve">params_total_b</t>
  </si>
  <si>
    <t xml:space="preserve">params_active_b</t>
  </si>
  <si>
    <t xml:space="preserve">hf_repo_id</t>
  </si>
  <si>
    <t xml:space="preserve">local_path</t>
  </si>
  <si>
    <t xml:space="preserve">ollama_tag</t>
  </si>
  <si>
    <t xml:space="preserve">modality</t>
  </si>
  <si>
    <t xml:space="preserve">planned_quantizations</t>
  </si>
  <si>
    <t xml:space="preserve">priority</t>
  </si>
  <si>
    <t xml:space="preserve">deepseek-v3</t>
  </si>
  <si>
    <t xml:space="preserve">DeepSeek-V3</t>
  </si>
  <si>
    <t xml:space="preserve">DeepSeek</t>
  </si>
  <si>
    <t xml:space="preserve">China</t>
  </si>
  <si>
    <t xml:space="preserve">Non-US</t>
  </si>
  <si>
    <t xml:space="preserve">MoE</t>
  </si>
  <si>
    <t xml:space="preserve">deepseek-ai/DeepSeek-V3</t>
  </si>
  <si>
    <t xml:space="preserve">deepseek-v3:671b</t>
  </si>
  <si>
    <t xml:space="preserve">BF16, FP8</t>
  </si>
  <si>
    <t xml:space="preserve">P0</t>
  </si>
  <si>
    <t xml:space="preserve">Flagship open MoE; needs multi-node or heavy quantization</t>
  </si>
  <si>
    <t xml:space="preserve">deepseek-r1</t>
  </si>
  <si>
    <t xml:space="preserve">DeepSeek-R1</t>
  </si>
  <si>
    <t xml:space="preserve">MIT</t>
  </si>
  <si>
    <t xml:space="preserve">deepseek-ai/DeepSeek-R1</t>
  </si>
  <si>
    <t xml:space="preserve">deepseek-r1:70b</t>
  </si>
  <si>
    <t xml:space="preserve">Reasoning; budget for long CoT output lengths</t>
  </si>
  <si>
    <t xml:space="preserve">qwen3-235b-a22b</t>
  </si>
  <si>
    <t xml:space="preserve">Qwen3-235B-A22B</t>
  </si>
  <si>
    <t xml:space="preserve">Alibaba</t>
  </si>
  <si>
    <t xml:space="preserve">Apache-2.0</t>
  </si>
  <si>
    <t xml:space="preserve">Qwen/Qwen3-235B-A22B</t>
  </si>
  <si>
    <t xml:space="preserve">qwen3:235b-a22b</t>
  </si>
  <si>
    <t xml:space="preserve">Strong multilingual incl. Indic</t>
  </si>
  <si>
    <t xml:space="preserve">qwen3-32b</t>
  </si>
  <si>
    <t xml:space="preserve">Qwen3-32B</t>
  </si>
  <si>
    <t xml:space="preserve">Dense</t>
  </si>
  <si>
    <t xml:space="preserve">Qwen/Qwen3-32B</t>
  </si>
  <si>
    <t xml:space="preserve">qwen3:32b</t>
  </si>
  <si>
    <t xml:space="preserve">Fits single GPU quantized</t>
  </si>
  <si>
    <t xml:space="preserve">llama-3.3-70b</t>
  </si>
  <si>
    <t xml:space="preserve">Llama 3.3 70B Instruct</t>
  </si>
  <si>
    <t xml:space="preserve">Meta</t>
  </si>
  <si>
    <t xml:space="preserve">USA</t>
  </si>
  <si>
    <t xml:space="preserve">US</t>
  </si>
  <si>
    <t xml:space="preserve">Llama 3.3 Community</t>
  </si>
  <si>
    <t xml:space="preserve">meta-llama/Llama-3.3-70B-Instruct</t>
  </si>
  <si>
    <t xml:space="preserve">llama3.3:70b</t>
  </si>
  <si>
    <t xml:space="preserve">De-facto baseline</t>
  </si>
  <si>
    <t xml:space="preserve">llama-4-scout</t>
  </si>
  <si>
    <t xml:space="preserve">Llama 4 Scout</t>
  </si>
  <si>
    <t xml:space="preserve">Llama 4 Community</t>
  </si>
  <si>
    <t xml:space="preserve">meta-llama/Llama-4-Scout-17B-16E-Instruct</t>
  </si>
  <si>
    <t xml:space="preserve">llama4:scout</t>
  </si>
  <si>
    <t xml:space="preserve">text+vision</t>
  </si>
  <si>
    <t xml:space="preserve">P1</t>
  </si>
  <si>
    <t xml:space="preserve">Very long context claim - stress it with RULER</t>
  </si>
  <si>
    <t xml:space="preserve">gpt-oss-120b</t>
  </si>
  <si>
    <t xml:space="preserve">OpenAI</t>
  </si>
  <si>
    <t xml:space="preserve">openai/gpt-oss-120b</t>
  </si>
  <si>
    <t xml:space="preserve">gpt-oss:120b</t>
  </si>
  <si>
    <t xml:space="preserve">MXFP4</t>
  </si>
  <si>
    <t xml:space="preserve">Ships natively in MXFP4</t>
  </si>
  <si>
    <t xml:space="preserve">gemma-3-27b</t>
  </si>
  <si>
    <t xml:space="preserve">Gemma 3 27B IT</t>
  </si>
  <si>
    <t xml:space="preserve">Google</t>
  </si>
  <si>
    <t xml:space="preserve">Gemma</t>
  </si>
  <si>
    <t xml:space="preserve">google/gemma-3-27b-it</t>
  </si>
  <si>
    <t xml:space="preserve">gemma3:27b</t>
  </si>
  <si>
    <t xml:space="preserve">phi-4</t>
  </si>
  <si>
    <t xml:space="preserve">Phi-4</t>
  </si>
  <si>
    <t xml:space="preserve">Microsoft</t>
  </si>
  <si>
    <t xml:space="preserve">microsoft/phi-4</t>
  </si>
  <si>
    <t xml:space="preserve">phi4:14b</t>
  </si>
  <si>
    <t xml:space="preserve">Small-model efficiency reference</t>
  </si>
  <si>
    <t xml:space="preserve">nemotron-super-49b</t>
  </si>
  <si>
    <t xml:space="preserve">Llama Nemotron Super 49B</t>
  </si>
  <si>
    <t xml:space="preserve">NVIDIA</t>
  </si>
  <si>
    <t xml:space="preserve">NVIDIA Open Model</t>
  </si>
  <si>
    <t xml:space="preserve">nvidia/Llama-3_3-Nemotron-Super-49B-v1</t>
  </si>
  <si>
    <t xml:space="preserve">NVIDIA-tuned; expect best TRT-LLM numbers</t>
  </si>
  <si>
    <t xml:space="preserve">olmo-2-32b</t>
  </si>
  <si>
    <t xml:space="preserve">OLMo 2 32B Instruct</t>
  </si>
  <si>
    <t xml:space="preserve">Allen Institute (AI2)</t>
  </si>
  <si>
    <t xml:space="preserve">allenai/OLMo-2-0325-32B-Instruct</t>
  </si>
  <si>
    <t xml:space="preserve">BF16</t>
  </si>
  <si>
    <t xml:space="preserve">P2</t>
  </si>
  <si>
    <t xml:space="preserve">Fully open data/training - reproducibility reference</t>
  </si>
  <si>
    <t xml:space="preserve">mistral-small-3</t>
  </si>
  <si>
    <t xml:space="preserve">Mistral Small 3.x Instruct</t>
  </si>
  <si>
    <t xml:space="preserve">Mistral AI</t>
  </si>
  <si>
    <t xml:space="preserve">France</t>
  </si>
  <si>
    <t xml:space="preserve">mistralai/Mistral-Small-24B-Instruct-2501</t>
  </si>
  <si>
    <t xml:space="preserve">mistral-small:24b</t>
  </si>
  <si>
    <t xml:space="preserve">mixtral-8x22b</t>
  </si>
  <si>
    <t xml:space="preserve">Mixtral 8x22B Instruct</t>
  </si>
  <si>
    <t xml:space="preserve">mistralai/Mixtral-8x22B-Instruct-v0.1</t>
  </si>
  <si>
    <t xml:space="preserve">mixtral:8x22b</t>
  </si>
  <si>
    <t xml:space="preserve">Older MoE baseline</t>
  </si>
  <si>
    <t xml:space="preserve">glm-4.5</t>
  </si>
  <si>
    <t xml:space="preserve">GLM-4.5</t>
  </si>
  <si>
    <t xml:space="preserve">Zhipu AI / Z.ai</t>
  </si>
  <si>
    <t xml:space="preserve">zai-org/GLM-4.5</t>
  </si>
  <si>
    <t xml:space="preserve">Strong agentic/tool-use scores</t>
  </si>
  <si>
    <t xml:space="preserve">kimi-k2</t>
  </si>
  <si>
    <t xml:space="preserve">Kimi K2 Instruct</t>
  </si>
  <si>
    <t xml:space="preserve">Moonshot AI</t>
  </si>
  <si>
    <t xml:space="preserve">Modified MIT</t>
  </si>
  <si>
    <t xml:space="preserve">moonshotai/Kimi-K2-Instruct</t>
  </si>
  <si>
    <t xml:space="preserve">FP8, INT4</t>
  </si>
  <si>
    <t xml:space="preserve">Largest open MoE - check it fits before scheduling</t>
  </si>
  <si>
    <t xml:space="preserve">minimax-m1</t>
  </si>
  <si>
    <t xml:space="preserve">MiniMax-M1</t>
  </si>
  <si>
    <t xml:space="preserve">MiniMax</t>
  </si>
  <si>
    <t xml:space="preserve">MiniMaxAI/MiniMax-M1-80k</t>
  </si>
  <si>
    <t xml:space="preserve">Long-context specialist</t>
  </si>
  <si>
    <t xml:space="preserve">internlm3-8b</t>
  </si>
  <si>
    <t xml:space="preserve">InternLM3 8B Instruct</t>
  </si>
  <si>
    <t xml:space="preserve">Shanghai AI Lab</t>
  </si>
  <si>
    <t xml:space="preserve">internlm/internlm3-8b-instruct</t>
  </si>
  <si>
    <t xml:space="preserve">aya-expanse-32b</t>
  </si>
  <si>
    <t xml:space="preserve">Aya Expanse 32B</t>
  </si>
  <si>
    <t xml:space="preserve">Cohere</t>
  </si>
  <si>
    <t xml:space="preserve">Canada</t>
  </si>
  <si>
    <t xml:space="preserve">CC-BY-NC</t>
  </si>
  <si>
    <t xml:space="preserve">CohereLabs/aya-expanse-32b</t>
  </si>
  <si>
    <t xml:space="preserve">aya-expanse:32b</t>
  </si>
  <si>
    <t xml:space="preserve">Multilingual specialist; NC licence - research only</t>
  </si>
  <si>
    <t xml:space="preserve">falcon3-10b</t>
  </si>
  <si>
    <t xml:space="preserve">Falcon 3 10B Instruct</t>
  </si>
  <si>
    <t xml:space="preserve">TII</t>
  </si>
  <si>
    <t xml:space="preserve">UAE</t>
  </si>
  <si>
    <t xml:space="preserve">Falcon LLM</t>
  </si>
  <si>
    <t xml:space="preserve">tiiuae/Falcon3-10B-Instruct</t>
  </si>
  <si>
    <t xml:space="preserve">falcon3:10b</t>
  </si>
  <si>
    <t xml:space="preserve">BF16, INT4-AWQ</t>
  </si>
  <si>
    <t xml:space="preserve">jamba-1.5-mini</t>
  </si>
  <si>
    <t xml:space="preserve">Jamba 1.5 Mini</t>
  </si>
  <si>
    <t xml:space="preserve">AI21 Labs</t>
  </si>
  <si>
    <t xml:space="preserve">Israel</t>
  </si>
  <si>
    <t xml:space="preserve">Hybrid SSM-Transformer</t>
  </si>
  <si>
    <t xml:space="preserve">Jamba Open</t>
  </si>
  <si>
    <t xml:space="preserve">ai21labs/AI21-Jamba-1.5-Mini</t>
  </si>
  <si>
    <t xml:space="preserve">Mamba hybrid - different memory profile, worth a row</t>
  </si>
  <si>
    <t xml:space="preserve">exaone-4-32b</t>
  </si>
  <si>
    <t xml:space="preserve">EXAONE 4.0 32B</t>
  </si>
  <si>
    <t xml:space="preserve">LG AI Research</t>
  </si>
  <si>
    <t xml:space="preserve">South Korea</t>
  </si>
  <si>
    <t xml:space="preserve">EXAONE (NC)</t>
  </si>
  <si>
    <t xml:space="preserve">LGAI-EXAONE/EXAONE-4.0-32B</t>
  </si>
  <si>
    <t xml:space="preserve">Korean + English</t>
  </si>
  <si>
    <t xml:space="preserve">sarvam-m</t>
  </si>
  <si>
    <t xml:space="preserve">Sarvam-M</t>
  </si>
  <si>
    <t xml:space="preserve">Sarvam AI</t>
  </si>
  <si>
    <t xml:space="preserve">India</t>
  </si>
  <si>
    <t xml:space="preserve">sarvamai/sarvam-m</t>
  </si>
  <si>
    <t xml:space="preserve">Indic-language specialist - include Indic tasks to make this meaningful</t>
  </si>
  <si>
    <t xml:space="preserve">sea-lion-v3</t>
  </si>
  <si>
    <t xml:space="preserve">SEA-LION v3 (Gemma-based)</t>
  </si>
  <si>
    <t xml:space="preserve">AI Singapore</t>
  </si>
  <si>
    <t xml:space="preserve">Singapore</t>
  </si>
  <si>
    <t xml:space="preserve">aisingapore/Gemma-SEA-LION-v3-9B-IT</t>
  </si>
  <si>
    <t xml:space="preserve">SE-Asian languages</t>
  </si>
  <si>
    <t xml:space="preserve">Sizes, context lengths and repo ids are as-published and must be verified before use. A blank ollama_tag means no confirmed Ollama library tag - supply a community GGUF tag (hf.co/&lt;user&gt;/&lt;repo&gt;:&lt;quant&gt;) or run that model on vLLM. Add rows freely - Summary reads this list.</t>
  </si>
  <si>
    <t xml:space="preserve">Ollama pull / resolve log</t>
  </si>
  <si>
    <t xml:space="preserve">Appended by run_ollama_bench.py. A model that failed to pull has no rows in Perf_Results - check here before concluding a model 'scored badly'.</t>
  </si>
  <si>
    <t xml:space="preserve">timestamp_utc</t>
  </si>
  <si>
    <t xml:space="preserve">status</t>
  </si>
  <si>
    <t xml:space="preserve">size_gb</t>
  </si>
  <si>
    <t xml:space="preserve">quantization_level</t>
  </si>
  <si>
    <t xml:space="preserve">parameter_size</t>
  </si>
  <si>
    <t xml:space="preserve">family</t>
  </si>
  <si>
    <t xml:space="preserve">digest</t>
  </si>
  <si>
    <t xml:space="preserve">pull_seconds</t>
  </si>
  <si>
    <t xml:space="preserve">error</t>
  </si>
  <si>
    <t xml:space="preserve">Self-hosted cost model</t>
  </si>
  <si>
    <t xml:space="preserve">Drives cost_per_1m_out_usd in Perf_Results. Replace every yellow cell with your real figures.</t>
  </si>
  <si>
    <t xml:space="preserve">Item</t>
  </si>
  <si>
    <t xml:space="preserve">Notes</t>
  </si>
  <si>
    <t xml:space="preserve">Purchase price of the DGX node. Source: your invoice.</t>
  </si>
  <si>
    <t xml:space="preserve">Depreciation window used by finance.</t>
  </si>
  <si>
    <t xml:space="preserve">gpu_count_in_system</t>
  </si>
  <si>
    <t xml:space="preserve">GPUs in the node.</t>
  </si>
  <si>
    <t xml:space="preserve">Fraction of wall-clock the GPUs actually serve traffic.</t>
  </si>
  <si>
    <t xml:space="preserve">Sustained wall power under load. Source: PDU reading.</t>
  </si>
  <si>
    <t xml:space="preserve">Datacentre power usage effectiveness.</t>
  </si>
  <si>
    <t xml:space="preserve">opex_overhead_pct</t>
  </si>
  <si>
    <t xml:space="preserve">Support contract, rack space, admin - as a fraction of capex/yr.</t>
  </si>
  <si>
    <t xml:space="preserve">Derived</t>
  </si>
  <si>
    <t xml:space="preserve">annual_capex_usd</t>
  </si>
  <si>
    <t xml:space="preserve">USD/yr</t>
  </si>
  <si>
    <t xml:space="preserve">Straight-line depreciation.</t>
  </si>
  <si>
    <t xml:space="preserve">annual_opex_usd</t>
  </si>
  <si>
    <t xml:space="preserve">Support and facilities.</t>
  </si>
  <si>
    <t xml:space="preserve">annual_energy_kwh</t>
  </si>
  <si>
    <t xml:space="preserve">kWh/yr</t>
  </si>
  <si>
    <t xml:space="preserve">Power x PUE x hours x utilisation.</t>
  </si>
  <si>
    <t xml:space="preserve">annual_energy_usd</t>
  </si>
  <si>
    <t xml:space="preserve">Energy x tariff.</t>
  </si>
  <si>
    <t xml:space="preserve">annual_total_usd</t>
  </si>
  <si>
    <t xml:space="preserve">Capex + opex + energy.</t>
  </si>
  <si>
    <t xml:space="preserve">gpu_hours_per_year</t>
  </si>
  <si>
    <t xml:space="preserve">GPU-hr</t>
  </si>
  <si>
    <t xml:space="preserve">Billable GPU-hours actually produced.</t>
  </si>
  <si>
    <t xml:space="preserve">All-in. This is what Perf_Results multiplies by.</t>
  </si>
  <si>
    <t xml:space="preserve">run_id</t>
  </si>
  <si>
    <t xml:space="preserve">stack_version</t>
  </si>
  <si>
    <t xml:space="preserve">gpu_type</t>
  </si>
  <si>
    <t xml:space="preserve">completed_requests</t>
  </si>
  <si>
    <t xml:space="preserve">failed_requests</t>
  </si>
  <si>
    <t xml:space="preserve">total_input_tokens</t>
  </si>
  <si>
    <t xml:space="preserve">total_output_tokens</t>
  </si>
  <si>
    <t xml:space="preserve">ttft_p50_ms</t>
  </si>
  <si>
    <t xml:space="preserve">ttft_p95_ms</t>
  </si>
  <si>
    <t xml:space="preserve">ttft_p99_ms</t>
  </si>
  <si>
    <t xml:space="preserve">tpot_p50_ms</t>
  </si>
  <si>
    <t xml:space="preserve">tpot_p99_ms</t>
  </si>
  <si>
    <t xml:space="preserve">e2e_p50_ms</t>
  </si>
  <si>
    <t xml:space="preserve">e2e_p95_ms</t>
  </si>
  <si>
    <t xml:space="preserve">e2e_p99_ms</t>
  </si>
  <si>
    <t xml:space="preserve">gpu_power_avg_w</t>
  </si>
  <si>
    <t xml:space="preserve">gpu_power_peak_w</t>
  </si>
  <si>
    <t xml:space="preserve">EXAMPLE-001</t>
  </si>
  <si>
    <t xml:space="preserve">2026-08-01T10:15:00Z</t>
  </si>
  <si>
    <t xml:space="preserve">EXAMPLE-model</t>
  </si>
  <si>
    <t xml:space="preserve">FP8</t>
  </si>
  <si>
    <t xml:space="preserve">fp8</t>
  </si>
  <si>
    <t xml:space="preserve">vLLM</t>
  </si>
  <si>
    <t xml:space="preserve">0.9.1</t>
  </si>
  <si>
    <t xml:space="preserve">H100-80GB-SXM</t>
  </si>
  <si>
    <t xml:space="preserve">on</t>
  </si>
  <si>
    <t xml:space="preserve">chunked-prefill</t>
  </si>
  <si>
    <t xml:space="preserve">EXAMPLE ROW - shows expected formats. Delete before real runs (the runner drops run_id starting with EXAMPLE).</t>
  </si>
  <si>
    <t xml:space="preserve">task_suite</t>
  </si>
  <si>
    <t xml:space="preserve">task_name</t>
  </si>
  <si>
    <t xml:space="preserve">capability</t>
  </si>
  <si>
    <t xml:space="preserve">n_samples</t>
  </si>
  <si>
    <t xml:space="preserve">repeats</t>
  </si>
  <si>
    <t xml:space="preserve">temperature</t>
  </si>
  <si>
    <t xml:space="preserve">max_tokens</t>
  </si>
  <si>
    <t xml:space="preserve">metric_name</t>
  </si>
  <si>
    <t xml:space="preserve">score_stdev</t>
  </si>
  <si>
    <t xml:space="preserve">score_min</t>
  </si>
  <si>
    <t xml:space="preserve">score_max</t>
  </si>
  <si>
    <t xml:space="preserve">avg_latency_s</t>
  </si>
  <si>
    <t xml:space="preserve">harness</t>
  </si>
  <si>
    <t xml:space="preserve">score_ci95_halfwidth</t>
  </si>
  <si>
    <t xml:space="preserve">fp16_baseline_score</t>
  </si>
  <si>
    <t xml:space="preserve">EXAMPLE-Q-001</t>
  </si>
  <si>
    <t xml:space="preserve">2026-08-01T14:02:00Z</t>
  </si>
  <si>
    <t xml:space="preserve">MMLU-Pro</t>
  </si>
  <si>
    <t xml:space="preserve">mmlu_pro_all</t>
  </si>
  <si>
    <t xml:space="preserve">knowledge</t>
  </si>
  <si>
    <t xml:space="preserve">en</t>
  </si>
  <si>
    <t xml:space="preserve">accuracy</t>
  </si>
  <si>
    <t xml:space="preserve">n/a (exact match)</t>
  </si>
  <si>
    <t xml:space="preserve">lm-eval-harness 0.4.x</t>
  </si>
  <si>
    <t xml:space="preserve">EXAMPLE ROW - shows expected formats. Scores stored as fractions (0.712 = 71.2%); percentages stored 0-100.</t>
  </si>
  <si>
    <t xml:space="preserve">Per-model rollup</t>
  </si>
  <si>
    <t xml:space="preserve">All formulas. Model list mirrors the Models sheet; figures aggregate Perf_Results and Quality_Results.</t>
  </si>
  <si>
    <t xml:space="preserve">perf_runs</t>
  </si>
  <si>
    <t xml:space="preserve">best_total_output_tps</t>
  </si>
  <si>
    <t xml:space="preserve">best_output_tps_per_gpu</t>
  </si>
  <si>
    <t xml:space="preserve">ttft_p95_at_c1_ms</t>
  </si>
  <si>
    <t xml:space="preserve">avg_gpu_mem_peak_gb</t>
  </si>
  <si>
    <t xml:space="preserve">best_tokens_per_joule</t>
  </si>
  <si>
    <t xml:space="preserve">min_cost_per_1m_out_usd</t>
  </si>
  <si>
    <t xml:space="preserve">avg_error_rate_pct</t>
  </si>
  <si>
    <t xml:space="preserve">sla_pass_points</t>
  </si>
  <si>
    <t xml:space="preserve">quality_runs</t>
  </si>
  <si>
    <t xml:space="preserve">avg_quality_score</t>
  </si>
  <si>
    <t xml:space="preserve">avg_delta_vs_fp16_pct</t>
  </si>
  <si>
    <t xml:space="preserve">best_* = best load point observed. ttft_p95_at_c1 = single-user latency (concurrency = 1). sla_pass_points = load points meeting BOTH SLA thresholds - i.e. usable capacity.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</si>
</sst>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0.00"/>
    <numFmt numFmtId="167" formatCode="0.0%"/>
    <numFmt numFmtId="168" formatCode="#,##0"/>
    <numFmt numFmtId="169" formatCode="\$#,##0.00"/>
    <numFmt numFmtId="170" formatCode="#,##0.0"/>
    <numFmt numFmtId="171" formatCode="0.000"/>
    <numFmt numFmtId="172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  <c r="B3" s="3"/>
    </row>
    <row r="4" customFormat="false" ht="23.85" hidden="false" customHeight="false" outlineLevel="0" collapsed="false">
      <c r="A4" s="2" t="s">
        <v>1</v>
      </c>
      <c r="B4" s="3" t="s">
        <v>2</v>
      </c>
    </row>
    <row r="5" customFormat="false" ht="15" hidden="false" customHeight="false" outlineLevel="0" collapsed="false">
      <c r="A5" s="2"/>
      <c r="B5" s="3"/>
    </row>
    <row r="6" customFormat="false" ht="15" hidden="false" customHeight="false" outlineLevel="0" collapsed="false">
      <c r="A6" s="4" t="s">
        <v>3</v>
      </c>
      <c r="B6" s="3"/>
    </row>
    <row r="7" customFormat="false" ht="15" hidden="false" customHeight="false" outlineLevel="0" collapsed="false">
      <c r="A7" s="2" t="s">
        <v>4</v>
      </c>
      <c r="B7" s="3" t="s">
        <v>5</v>
      </c>
    </row>
    <row r="8" customFormat="false" ht="15" hidden="false" customHeight="false" outlineLevel="0" collapsed="false">
      <c r="A8" s="2" t="s">
        <v>6</v>
      </c>
      <c r="B8" s="3" t="s">
        <v>7</v>
      </c>
    </row>
    <row r="9" customFormat="false" ht="15" hidden="false" customHeight="false" outlineLevel="0" collapsed="false">
      <c r="A9" s="2" t="s">
        <v>8</v>
      </c>
      <c r="B9" s="3" t="s">
        <v>9</v>
      </c>
    </row>
    <row r="10" customFormat="false" ht="15" hidden="false" customHeight="false" outlineLevel="0" collapsed="false">
      <c r="A10" s="2" t="s">
        <v>10</v>
      </c>
      <c r="B10" s="3" t="s">
        <v>11</v>
      </c>
    </row>
    <row r="11" customFormat="false" ht="15" hidden="false" customHeight="false" outlineLevel="0" collapsed="false">
      <c r="A11" s="2" t="s">
        <v>12</v>
      </c>
      <c r="B11" s="3" t="s">
        <v>13</v>
      </c>
    </row>
    <row r="12" customFormat="false" ht="35.05" hidden="false" customHeight="false" outlineLevel="0" collapsed="false">
      <c r="A12" s="2" t="s">
        <v>14</v>
      </c>
      <c r="B12" s="3" t="s">
        <v>15</v>
      </c>
    </row>
    <row r="13" customFormat="false" ht="15" hidden="false" customHeight="false" outlineLevel="0" collapsed="false">
      <c r="A13" s="2" t="s">
        <v>16</v>
      </c>
      <c r="B13" s="3" t="s">
        <v>17</v>
      </c>
    </row>
    <row r="14" customFormat="false" ht="15" hidden="false" customHeight="false" outlineLevel="0" collapsed="false">
      <c r="A14" s="2"/>
      <c r="B14" s="3"/>
    </row>
    <row r="15" customFormat="false" ht="15" hidden="false" customHeight="false" outlineLevel="0" collapsed="false">
      <c r="A15" s="4" t="s">
        <v>18</v>
      </c>
      <c r="B15" s="3"/>
    </row>
    <row r="16" customFormat="false" ht="15" hidden="false" customHeight="false" outlineLevel="0" collapsed="false">
      <c r="A16" s="2" t="s">
        <v>19</v>
      </c>
      <c r="B16" s="3" t="s">
        <v>20</v>
      </c>
    </row>
    <row r="17" customFormat="false" ht="15" hidden="false" customHeight="false" outlineLevel="0" collapsed="false">
      <c r="A17" s="2" t="s">
        <v>21</v>
      </c>
      <c r="B17" s="3" t="s">
        <v>22</v>
      </c>
    </row>
    <row r="18" customFormat="false" ht="15" hidden="false" customHeight="false" outlineLevel="0" collapsed="false">
      <c r="A18" s="2" t="s">
        <v>23</v>
      </c>
      <c r="B18" s="3" t="s">
        <v>24</v>
      </c>
    </row>
    <row r="19" customFormat="false" ht="15" hidden="false" customHeight="false" outlineLevel="0" collapsed="false">
      <c r="A19" s="2" t="s">
        <v>25</v>
      </c>
      <c r="B19" s="3" t="s">
        <v>26</v>
      </c>
    </row>
    <row r="20" customFormat="false" ht="15" hidden="false" customHeight="false" outlineLevel="0" collapsed="false">
      <c r="A20" s="2"/>
      <c r="B20" s="3"/>
    </row>
    <row r="21" customFormat="false" ht="15" hidden="false" customHeight="false" outlineLevel="0" collapsed="false">
      <c r="A21" s="4" t="s">
        <v>27</v>
      </c>
      <c r="B21" s="3"/>
    </row>
    <row r="22" customFormat="false" ht="15" hidden="false" customHeight="false" outlineLevel="0" collapsed="false">
      <c r="A22" s="2" t="s">
        <v>28</v>
      </c>
      <c r="B22" s="3" t="s">
        <v>29</v>
      </c>
    </row>
    <row r="23" customFormat="false" ht="15" hidden="false" customHeight="false" outlineLevel="0" collapsed="false">
      <c r="A23" s="2" t="s">
        <v>30</v>
      </c>
      <c r="B23" s="3" t="s">
        <v>31</v>
      </c>
    </row>
    <row r="24" customFormat="false" ht="15" hidden="false" customHeight="false" outlineLevel="0" collapsed="false">
      <c r="A24" s="2" t="s">
        <v>32</v>
      </c>
      <c r="B24" s="3" t="s">
        <v>33</v>
      </c>
    </row>
    <row r="25" customFormat="false" ht="15" hidden="false" customHeight="false" outlineLevel="0" collapsed="false">
      <c r="A25" s="2" t="s">
        <v>34</v>
      </c>
      <c r="B25" s="3" t="s">
        <v>35</v>
      </c>
    </row>
    <row r="26" customFormat="false" ht="15" hidden="false" customHeight="false" outlineLevel="0" collapsed="false">
      <c r="A26" s="2" t="s">
        <v>36</v>
      </c>
      <c r="B26" s="3" t="s">
        <v>37</v>
      </c>
    </row>
    <row r="27" customFormat="false" ht="15" hidden="false" customHeight="false" outlineLevel="0" collapsed="false">
      <c r="A27" s="2" t="s">
        <v>38</v>
      </c>
      <c r="B27" s="3" t="s">
        <v>39</v>
      </c>
    </row>
    <row r="28" customFormat="false" ht="15" hidden="false" customHeight="false" outlineLevel="0" collapsed="false">
      <c r="A28" s="2" t="s">
        <v>40</v>
      </c>
      <c r="B28" s="3" t="s">
        <v>41</v>
      </c>
    </row>
    <row r="29" customFormat="false" ht="15" hidden="false" customHeight="false" outlineLevel="0" collapsed="false">
      <c r="A29" s="2" t="s">
        <v>42</v>
      </c>
      <c r="B29" s="3" t="s">
        <v>43</v>
      </c>
    </row>
    <row r="30" customFormat="false" ht="15" hidden="false" customHeight="false" outlineLevel="0" collapsed="false">
      <c r="A30" s="2"/>
      <c r="B30" s="3"/>
    </row>
    <row r="31" customFormat="false" ht="15" hidden="false" customHeight="false" outlineLevel="0" collapsed="false">
      <c r="A31" s="4" t="s">
        <v>44</v>
      </c>
      <c r="B31" s="3"/>
    </row>
    <row r="32" customFormat="false" ht="15" hidden="false" customHeight="false" outlineLevel="0" collapsed="false">
      <c r="A32" s="2" t="s">
        <v>45</v>
      </c>
      <c r="B32" s="3" t="s">
        <v>46</v>
      </c>
    </row>
    <row r="33" customFormat="false" ht="15" hidden="false" customHeight="false" outlineLevel="0" collapsed="false">
      <c r="A33" s="2" t="s">
        <v>45</v>
      </c>
      <c r="B33" s="3" t="s">
        <v>47</v>
      </c>
    </row>
    <row r="34" customFormat="false" ht="15" hidden="false" customHeight="false" outlineLevel="0" collapsed="false">
      <c r="A34" s="2" t="s">
        <v>45</v>
      </c>
      <c r="B34" s="3" t="s">
        <v>48</v>
      </c>
    </row>
    <row r="35" customFormat="false" ht="15" hidden="false" customHeight="false" outlineLevel="0" collapsed="false">
      <c r="A35" s="2" t="s">
        <v>45</v>
      </c>
      <c r="B35" s="3" t="s">
        <v>49</v>
      </c>
    </row>
    <row r="36" customFormat="false" ht="15" hidden="false" customHeight="false" outlineLevel="0" collapsed="false">
      <c r="A36" s="2" t="s">
        <v>45</v>
      </c>
      <c r="B36" s="3" t="s">
        <v>50</v>
      </c>
    </row>
    <row r="37" customFormat="false" ht="15" hidden="false" customHeight="false" outlineLevel="0" collapsed="false">
      <c r="A37" s="2" t="s">
        <v>45</v>
      </c>
      <c r="B37" s="3" t="s">
        <v>51</v>
      </c>
    </row>
    <row r="39" customFormat="false" ht="15" hidden="false" customHeight="false" outlineLevel="0" collapsed="false">
      <c r="A39" s="5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56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6" t="s">
        <v>53</v>
      </c>
    </row>
    <row r="2" customFormat="false" ht="15" hidden="false" customHeight="false" outlineLevel="0" collapsed="false">
      <c r="A2" s="5" t="s">
        <v>54</v>
      </c>
    </row>
    <row r="4" customFormat="false" ht="33.75" hidden="false" customHeight="true" outlineLevel="0" collapsed="false">
      <c r="A4" s="7" t="s">
        <v>55</v>
      </c>
      <c r="B4" s="7" t="s">
        <v>56</v>
      </c>
      <c r="C4" s="7" t="s">
        <v>57</v>
      </c>
      <c r="D4" s="7" t="s">
        <v>58</v>
      </c>
      <c r="E4" s="7" t="s">
        <v>59</v>
      </c>
      <c r="F4" s="7" t="s">
        <v>60</v>
      </c>
      <c r="G4" s="7" t="s">
        <v>61</v>
      </c>
      <c r="H4" s="7" t="s">
        <v>62</v>
      </c>
    </row>
    <row r="5" customFormat="false" ht="15" hidden="false" customHeight="false" outlineLevel="0" collapsed="false">
      <c r="A5" s="8" t="s">
        <v>63</v>
      </c>
      <c r="B5" s="8" t="s">
        <v>64</v>
      </c>
      <c r="C5" s="8" t="s">
        <v>65</v>
      </c>
      <c r="D5" s="8" t="s">
        <v>66</v>
      </c>
      <c r="E5" s="8" t="s">
        <v>67</v>
      </c>
      <c r="F5" s="8" t="s">
        <v>68</v>
      </c>
      <c r="G5" s="8" t="s">
        <v>34</v>
      </c>
      <c r="H5" s="9" t="s">
        <v>69</v>
      </c>
    </row>
    <row r="6" customFormat="false" ht="15" hidden="false" customHeight="false" outlineLevel="0" collapsed="false">
      <c r="A6" s="8" t="s">
        <v>63</v>
      </c>
      <c r="B6" s="8" t="s">
        <v>70</v>
      </c>
      <c r="C6" s="8" t="s">
        <v>71</v>
      </c>
      <c r="D6" s="8" t="s">
        <v>66</v>
      </c>
      <c r="E6" s="8" t="s">
        <v>72</v>
      </c>
      <c r="F6" s="8" t="s">
        <v>73</v>
      </c>
      <c r="G6" s="8" t="s">
        <v>34</v>
      </c>
      <c r="H6" s="9" t="s">
        <v>69</v>
      </c>
    </row>
    <row r="7" customFormat="false" ht="15" hidden="false" customHeight="false" outlineLevel="0" collapsed="false">
      <c r="A7" s="8" t="s">
        <v>63</v>
      </c>
      <c r="B7" s="8" t="s">
        <v>74</v>
      </c>
      <c r="C7" s="8" t="s">
        <v>75</v>
      </c>
      <c r="D7" s="8" t="s">
        <v>76</v>
      </c>
      <c r="E7" s="8" t="s">
        <v>77</v>
      </c>
      <c r="F7" s="8" t="s">
        <v>73</v>
      </c>
      <c r="G7" s="8" t="s">
        <v>34</v>
      </c>
      <c r="H7" s="9" t="s">
        <v>69</v>
      </c>
    </row>
    <row r="8" customFormat="false" ht="15" hidden="false" customHeight="false" outlineLevel="0" collapsed="false">
      <c r="A8" s="8" t="s">
        <v>63</v>
      </c>
      <c r="B8" s="8" t="s">
        <v>78</v>
      </c>
      <c r="C8" s="8" t="s">
        <v>79</v>
      </c>
      <c r="D8" s="8" t="s">
        <v>66</v>
      </c>
      <c r="E8" s="8" t="s">
        <v>80</v>
      </c>
      <c r="F8" s="8" t="s">
        <v>73</v>
      </c>
      <c r="G8" s="8" t="s">
        <v>34</v>
      </c>
      <c r="H8" s="9" t="s">
        <v>69</v>
      </c>
    </row>
    <row r="9" customFormat="false" ht="15" hidden="false" customHeight="false" outlineLevel="0" collapsed="false">
      <c r="A9" s="8" t="s">
        <v>63</v>
      </c>
      <c r="B9" s="8" t="s">
        <v>81</v>
      </c>
      <c r="C9" s="8" t="s">
        <v>82</v>
      </c>
      <c r="D9" s="8" t="s">
        <v>83</v>
      </c>
      <c r="E9" s="8" t="s">
        <v>84</v>
      </c>
      <c r="F9" s="8" t="s">
        <v>85</v>
      </c>
      <c r="G9" s="8" t="s">
        <v>34</v>
      </c>
      <c r="H9" s="9" t="s">
        <v>69</v>
      </c>
    </row>
    <row r="10" customFormat="false" ht="15" hidden="false" customHeight="false" outlineLevel="0" collapsed="false">
      <c r="A10" s="8" t="s">
        <v>63</v>
      </c>
      <c r="B10" s="8" t="s">
        <v>86</v>
      </c>
      <c r="C10" s="8" t="s">
        <v>87</v>
      </c>
      <c r="D10" s="8" t="s">
        <v>66</v>
      </c>
      <c r="E10" s="8" t="s">
        <v>88</v>
      </c>
      <c r="F10" s="8" t="s">
        <v>89</v>
      </c>
      <c r="G10" s="8" t="s">
        <v>34</v>
      </c>
      <c r="H10" s="9" t="s">
        <v>69</v>
      </c>
    </row>
    <row r="11" customFormat="false" ht="23.85" hidden="false" customHeight="false" outlineLevel="0" collapsed="false">
      <c r="A11" s="8" t="s">
        <v>90</v>
      </c>
      <c r="B11" s="8" t="s">
        <v>91</v>
      </c>
      <c r="C11" s="8" t="s">
        <v>92</v>
      </c>
      <c r="D11" s="8" t="s">
        <v>93</v>
      </c>
      <c r="E11" s="8" t="s">
        <v>94</v>
      </c>
      <c r="F11" s="8" t="s">
        <v>95</v>
      </c>
      <c r="G11" s="8" t="s">
        <v>36</v>
      </c>
      <c r="H11" s="9" t="s">
        <v>69</v>
      </c>
    </row>
    <row r="12" customFormat="false" ht="15" hidden="false" customHeight="false" outlineLevel="0" collapsed="false">
      <c r="A12" s="8" t="s">
        <v>90</v>
      </c>
      <c r="B12" s="8" t="s">
        <v>96</v>
      </c>
      <c r="C12" s="8" t="s">
        <v>97</v>
      </c>
      <c r="D12" s="8" t="s">
        <v>93</v>
      </c>
      <c r="E12" s="8" t="s">
        <v>98</v>
      </c>
      <c r="F12" s="8" t="s">
        <v>99</v>
      </c>
      <c r="G12" s="8" t="s">
        <v>36</v>
      </c>
      <c r="H12" s="9" t="s">
        <v>69</v>
      </c>
    </row>
    <row r="13" customFormat="false" ht="23.85" hidden="false" customHeight="false" outlineLevel="0" collapsed="false">
      <c r="A13" s="8" t="s">
        <v>90</v>
      </c>
      <c r="B13" s="8" t="s">
        <v>100</v>
      </c>
      <c r="C13" s="8" t="s">
        <v>101</v>
      </c>
      <c r="D13" s="8" t="s">
        <v>93</v>
      </c>
      <c r="E13" s="8" t="s">
        <v>102</v>
      </c>
      <c r="F13" s="8" t="s">
        <v>103</v>
      </c>
      <c r="G13" s="8" t="s">
        <v>36</v>
      </c>
      <c r="H13" s="9" t="s">
        <v>69</v>
      </c>
    </row>
    <row r="14" customFormat="false" ht="15" hidden="false" customHeight="false" outlineLevel="0" collapsed="false">
      <c r="A14" s="8" t="s">
        <v>90</v>
      </c>
      <c r="B14" s="8" t="s">
        <v>104</v>
      </c>
      <c r="C14" s="8" t="s">
        <v>105</v>
      </c>
      <c r="D14" s="8" t="s">
        <v>106</v>
      </c>
      <c r="E14" s="8" t="s">
        <v>107</v>
      </c>
      <c r="F14" s="8" t="s">
        <v>99</v>
      </c>
      <c r="G14" s="8" t="s">
        <v>36</v>
      </c>
      <c r="H14" s="9" t="s">
        <v>69</v>
      </c>
    </row>
    <row r="15" customFormat="false" ht="15" hidden="false" customHeight="false" outlineLevel="0" collapsed="false">
      <c r="A15" s="8" t="s">
        <v>90</v>
      </c>
      <c r="B15" s="8" t="s">
        <v>108</v>
      </c>
      <c r="C15" s="8" t="s">
        <v>109</v>
      </c>
      <c r="D15" s="8" t="s">
        <v>106</v>
      </c>
      <c r="E15" s="8" t="s">
        <v>110</v>
      </c>
      <c r="F15" s="8" t="s">
        <v>99</v>
      </c>
      <c r="G15" s="8" t="s">
        <v>36</v>
      </c>
      <c r="H15" s="8" t="s">
        <v>111</v>
      </c>
    </row>
    <row r="16" customFormat="false" ht="15" hidden="false" customHeight="false" outlineLevel="0" collapsed="false">
      <c r="A16" s="8" t="s">
        <v>90</v>
      </c>
      <c r="B16" s="8" t="s">
        <v>112</v>
      </c>
      <c r="C16" s="8" t="s">
        <v>113</v>
      </c>
      <c r="D16" s="8" t="s">
        <v>83</v>
      </c>
      <c r="E16" s="8" t="s">
        <v>114</v>
      </c>
      <c r="F16" s="8" t="s">
        <v>99</v>
      </c>
      <c r="G16" s="8" t="s">
        <v>36</v>
      </c>
      <c r="H16" s="9" t="s">
        <v>69</v>
      </c>
    </row>
    <row r="17" customFormat="false" ht="15" hidden="false" customHeight="false" outlineLevel="0" collapsed="false">
      <c r="A17" s="8" t="s">
        <v>90</v>
      </c>
      <c r="B17" s="8" t="s">
        <v>115</v>
      </c>
      <c r="C17" s="8" t="s">
        <v>116</v>
      </c>
      <c r="D17" s="8" t="s">
        <v>117</v>
      </c>
      <c r="E17" s="8" t="s">
        <v>118</v>
      </c>
      <c r="F17" s="8" t="s">
        <v>99</v>
      </c>
      <c r="G17" s="8" t="s">
        <v>36</v>
      </c>
      <c r="H17" s="8" t="s">
        <v>111</v>
      </c>
    </row>
    <row r="18" customFormat="false" ht="15" hidden="false" customHeight="false" outlineLevel="0" collapsed="false">
      <c r="A18" s="8" t="s">
        <v>90</v>
      </c>
      <c r="B18" s="8" t="s">
        <v>119</v>
      </c>
      <c r="C18" s="8" t="s">
        <v>120</v>
      </c>
      <c r="D18" s="8" t="s">
        <v>66</v>
      </c>
      <c r="E18" s="8" t="s">
        <v>121</v>
      </c>
      <c r="F18" s="8" t="s">
        <v>99</v>
      </c>
      <c r="G18" s="8" t="s">
        <v>36</v>
      </c>
      <c r="H18" s="8" t="s">
        <v>111</v>
      </c>
    </row>
    <row r="19" customFormat="false" ht="15" hidden="false" customHeight="false" outlineLevel="0" collapsed="false">
      <c r="A19" s="8" t="s">
        <v>90</v>
      </c>
      <c r="B19" s="8" t="s">
        <v>122</v>
      </c>
      <c r="C19" s="8" t="s">
        <v>123</v>
      </c>
      <c r="D19" s="8" t="s">
        <v>124</v>
      </c>
      <c r="E19" s="8" t="s">
        <v>125</v>
      </c>
      <c r="F19" s="8" t="s">
        <v>126</v>
      </c>
      <c r="G19" s="8" t="s">
        <v>36</v>
      </c>
      <c r="H19" s="8" t="s">
        <v>111</v>
      </c>
    </row>
    <row r="20" customFormat="false" ht="15" hidden="false" customHeight="false" outlineLevel="0" collapsed="false">
      <c r="A20" s="8" t="s">
        <v>127</v>
      </c>
      <c r="B20" s="8" t="s">
        <v>128</v>
      </c>
      <c r="C20" s="8" t="s">
        <v>129</v>
      </c>
      <c r="D20" s="8" t="s">
        <v>106</v>
      </c>
      <c r="E20" s="8" t="s">
        <v>130</v>
      </c>
      <c r="F20" s="8" t="s">
        <v>131</v>
      </c>
      <c r="G20" s="8" t="s">
        <v>36</v>
      </c>
      <c r="H20" s="9" t="s">
        <v>69</v>
      </c>
    </row>
    <row r="21" customFormat="false" ht="15" hidden="false" customHeight="false" outlineLevel="0" collapsed="false">
      <c r="A21" s="8" t="s">
        <v>127</v>
      </c>
      <c r="B21" s="8" t="s">
        <v>132</v>
      </c>
      <c r="C21" s="8" t="s">
        <v>133</v>
      </c>
      <c r="D21" s="8" t="s">
        <v>134</v>
      </c>
      <c r="E21" s="8" t="s">
        <v>135</v>
      </c>
      <c r="F21" s="8" t="s">
        <v>131</v>
      </c>
      <c r="G21" s="8" t="s">
        <v>36</v>
      </c>
      <c r="H21" s="8" t="s">
        <v>111</v>
      </c>
    </row>
    <row r="22" customFormat="false" ht="15" hidden="false" customHeight="false" outlineLevel="0" collapsed="false">
      <c r="A22" s="8" t="s">
        <v>127</v>
      </c>
      <c r="B22" s="8" t="s">
        <v>136</v>
      </c>
      <c r="C22" s="8" t="s">
        <v>137</v>
      </c>
      <c r="D22" s="8" t="s">
        <v>83</v>
      </c>
      <c r="E22" s="8" t="s">
        <v>138</v>
      </c>
      <c r="F22" s="8" t="s">
        <v>139</v>
      </c>
      <c r="G22" s="8" t="s">
        <v>36</v>
      </c>
      <c r="H22" s="9" t="s">
        <v>69</v>
      </c>
    </row>
    <row r="23" customFormat="false" ht="15" hidden="false" customHeight="false" outlineLevel="0" collapsed="false">
      <c r="A23" s="8" t="s">
        <v>127</v>
      </c>
      <c r="B23" s="8" t="s">
        <v>140</v>
      </c>
      <c r="C23" s="8" t="s">
        <v>141</v>
      </c>
      <c r="D23" s="8" t="s">
        <v>83</v>
      </c>
      <c r="E23" s="8" t="s">
        <v>142</v>
      </c>
      <c r="F23" s="8" t="s">
        <v>143</v>
      </c>
      <c r="G23" s="8" t="s">
        <v>36</v>
      </c>
      <c r="H23" s="9" t="s">
        <v>69</v>
      </c>
    </row>
    <row r="24" customFormat="false" ht="15" hidden="false" customHeight="false" outlineLevel="0" collapsed="false">
      <c r="A24" s="8" t="s">
        <v>127</v>
      </c>
      <c r="B24" s="8" t="s">
        <v>144</v>
      </c>
      <c r="C24" s="8" t="s">
        <v>145</v>
      </c>
      <c r="D24" s="8" t="s">
        <v>106</v>
      </c>
      <c r="E24" s="8" t="s">
        <v>146</v>
      </c>
      <c r="F24" s="8" t="s">
        <v>131</v>
      </c>
      <c r="G24" s="8" t="s">
        <v>36</v>
      </c>
      <c r="H24" s="9" t="s">
        <v>69</v>
      </c>
    </row>
    <row r="25" customFormat="false" ht="15" hidden="false" customHeight="false" outlineLevel="0" collapsed="false">
      <c r="A25" s="8" t="s">
        <v>127</v>
      </c>
      <c r="B25" s="8" t="s">
        <v>147</v>
      </c>
      <c r="C25" s="8" t="s">
        <v>148</v>
      </c>
      <c r="D25" s="8" t="s">
        <v>124</v>
      </c>
      <c r="E25" s="8" t="s">
        <v>149</v>
      </c>
      <c r="F25" s="8" t="s">
        <v>150</v>
      </c>
      <c r="G25" s="8" t="s">
        <v>36</v>
      </c>
      <c r="H25" s="9" t="s">
        <v>69</v>
      </c>
    </row>
    <row r="26" customFormat="false" ht="15" hidden="false" customHeight="false" outlineLevel="0" collapsed="false">
      <c r="A26" s="8" t="s">
        <v>151</v>
      </c>
      <c r="B26" s="8" t="s">
        <v>152</v>
      </c>
      <c r="C26" s="8" t="s">
        <v>153</v>
      </c>
      <c r="D26" s="8" t="s">
        <v>154</v>
      </c>
      <c r="E26" s="8" t="s">
        <v>155</v>
      </c>
      <c r="F26" s="8" t="s">
        <v>156</v>
      </c>
      <c r="G26" s="8" t="s">
        <v>36</v>
      </c>
      <c r="H26" s="9" t="s">
        <v>69</v>
      </c>
    </row>
    <row r="27" customFormat="false" ht="15" hidden="false" customHeight="false" outlineLevel="0" collapsed="false">
      <c r="A27" s="8" t="s">
        <v>151</v>
      </c>
      <c r="B27" s="8" t="s">
        <v>157</v>
      </c>
      <c r="C27" s="8" t="s">
        <v>158</v>
      </c>
      <c r="D27" s="8" t="s">
        <v>154</v>
      </c>
      <c r="E27" s="8" t="s">
        <v>159</v>
      </c>
      <c r="F27" s="8" t="s">
        <v>160</v>
      </c>
      <c r="G27" s="8" t="s">
        <v>36</v>
      </c>
      <c r="H27" s="9" t="s">
        <v>69</v>
      </c>
    </row>
    <row r="28" customFormat="false" ht="15" hidden="false" customHeight="false" outlineLevel="0" collapsed="false">
      <c r="A28" s="8" t="s">
        <v>151</v>
      </c>
      <c r="B28" s="8" t="s">
        <v>161</v>
      </c>
      <c r="C28" s="8" t="s">
        <v>162</v>
      </c>
      <c r="D28" s="8" t="s">
        <v>154</v>
      </c>
      <c r="E28" s="8" t="s">
        <v>163</v>
      </c>
      <c r="F28" s="8" t="s">
        <v>160</v>
      </c>
      <c r="G28" s="8" t="s">
        <v>36</v>
      </c>
      <c r="H28" s="8" t="s">
        <v>111</v>
      </c>
    </row>
    <row r="29" customFormat="false" ht="15" hidden="false" customHeight="false" outlineLevel="0" collapsed="false">
      <c r="A29" s="8" t="s">
        <v>151</v>
      </c>
      <c r="B29" s="8" t="s">
        <v>164</v>
      </c>
      <c r="C29" s="8" t="s">
        <v>165</v>
      </c>
      <c r="D29" s="8" t="s">
        <v>154</v>
      </c>
      <c r="E29" s="8" t="s">
        <v>166</v>
      </c>
      <c r="F29" s="8" t="s">
        <v>160</v>
      </c>
      <c r="G29" s="8" t="s">
        <v>36</v>
      </c>
      <c r="H29" s="9" t="s">
        <v>69</v>
      </c>
    </row>
    <row r="30" customFormat="false" ht="15" hidden="false" customHeight="false" outlineLevel="0" collapsed="false">
      <c r="A30" s="8" t="s">
        <v>167</v>
      </c>
      <c r="B30" s="8" t="s">
        <v>168</v>
      </c>
      <c r="C30" s="8" t="s">
        <v>169</v>
      </c>
      <c r="D30" s="8" t="s">
        <v>170</v>
      </c>
      <c r="E30" s="8" t="s">
        <v>171</v>
      </c>
      <c r="F30" s="8" t="s">
        <v>160</v>
      </c>
      <c r="G30" s="8" t="s">
        <v>36</v>
      </c>
      <c r="H30" s="9" t="s">
        <v>69</v>
      </c>
    </row>
    <row r="31" customFormat="false" ht="15" hidden="false" customHeight="false" outlineLevel="0" collapsed="false">
      <c r="A31" s="8" t="s">
        <v>167</v>
      </c>
      <c r="B31" s="8" t="s">
        <v>172</v>
      </c>
      <c r="C31" s="8" t="s">
        <v>173</v>
      </c>
      <c r="D31" s="8" t="s">
        <v>170</v>
      </c>
      <c r="E31" s="8" t="s">
        <v>174</v>
      </c>
      <c r="F31" s="8" t="s">
        <v>160</v>
      </c>
      <c r="G31" s="8" t="s">
        <v>36</v>
      </c>
      <c r="H31" s="9" t="s">
        <v>69</v>
      </c>
    </row>
    <row r="32" customFormat="false" ht="15" hidden="false" customHeight="false" outlineLevel="0" collapsed="false">
      <c r="A32" s="8" t="s">
        <v>167</v>
      </c>
      <c r="B32" s="8" t="s">
        <v>175</v>
      </c>
      <c r="C32" s="8" t="s">
        <v>176</v>
      </c>
      <c r="D32" s="8" t="s">
        <v>170</v>
      </c>
      <c r="E32" s="8" t="s">
        <v>177</v>
      </c>
      <c r="F32" s="8" t="s">
        <v>160</v>
      </c>
      <c r="G32" s="8" t="s">
        <v>36</v>
      </c>
      <c r="H32" s="9" t="s">
        <v>69</v>
      </c>
    </row>
    <row r="33" customFormat="false" ht="15" hidden="false" customHeight="false" outlineLevel="0" collapsed="false">
      <c r="A33" s="8" t="s">
        <v>167</v>
      </c>
      <c r="B33" s="8" t="s">
        <v>178</v>
      </c>
      <c r="C33" s="8" t="s">
        <v>179</v>
      </c>
      <c r="D33" s="8" t="s">
        <v>134</v>
      </c>
      <c r="E33" s="8" t="s">
        <v>180</v>
      </c>
      <c r="F33" s="8" t="s">
        <v>160</v>
      </c>
      <c r="G33" s="8" t="s">
        <v>36</v>
      </c>
      <c r="H33" s="9" t="s">
        <v>69</v>
      </c>
    </row>
    <row r="34" customFormat="false" ht="15" hidden="false" customHeight="false" outlineLevel="0" collapsed="false">
      <c r="A34" s="8" t="s">
        <v>167</v>
      </c>
      <c r="B34" s="8" t="s">
        <v>181</v>
      </c>
      <c r="C34" s="8" t="s">
        <v>182</v>
      </c>
      <c r="D34" s="8" t="s">
        <v>170</v>
      </c>
      <c r="E34" s="8" t="s">
        <v>183</v>
      </c>
      <c r="F34" s="8" t="s">
        <v>184</v>
      </c>
      <c r="G34" s="8" t="s">
        <v>36</v>
      </c>
      <c r="H34" s="9" t="s">
        <v>69</v>
      </c>
    </row>
    <row r="35" customFormat="false" ht="23.85" hidden="false" customHeight="false" outlineLevel="0" collapsed="false">
      <c r="A35" s="8" t="s">
        <v>185</v>
      </c>
      <c r="B35" s="8" t="s">
        <v>186</v>
      </c>
      <c r="C35" s="8" t="s">
        <v>187</v>
      </c>
      <c r="D35" s="8" t="s">
        <v>188</v>
      </c>
      <c r="E35" s="8" t="s">
        <v>189</v>
      </c>
      <c r="F35" s="8" t="s">
        <v>190</v>
      </c>
      <c r="G35" s="8" t="s">
        <v>36</v>
      </c>
      <c r="H35" s="9" t="s">
        <v>69</v>
      </c>
    </row>
    <row r="36" customFormat="false" ht="23.85" hidden="false" customHeight="false" outlineLevel="0" collapsed="false">
      <c r="A36" s="8" t="s">
        <v>185</v>
      </c>
      <c r="B36" s="8" t="s">
        <v>191</v>
      </c>
      <c r="C36" s="8" t="s">
        <v>192</v>
      </c>
      <c r="D36" s="8" t="s">
        <v>193</v>
      </c>
      <c r="E36" s="8" t="s">
        <v>194</v>
      </c>
      <c r="F36" s="8" t="s">
        <v>195</v>
      </c>
      <c r="G36" s="8" t="s">
        <v>36</v>
      </c>
      <c r="H36" s="9" t="s">
        <v>69</v>
      </c>
    </row>
    <row r="37" customFormat="false" ht="23.85" hidden="false" customHeight="false" outlineLevel="0" collapsed="false">
      <c r="A37" s="8" t="s">
        <v>185</v>
      </c>
      <c r="B37" s="8" t="s">
        <v>196</v>
      </c>
      <c r="C37" s="8" t="s">
        <v>197</v>
      </c>
      <c r="D37" s="8" t="s">
        <v>198</v>
      </c>
      <c r="E37" s="8" t="s">
        <v>199</v>
      </c>
      <c r="F37" s="8" t="s">
        <v>200</v>
      </c>
      <c r="G37" s="8" t="s">
        <v>36</v>
      </c>
      <c r="H37" s="9" t="s">
        <v>69</v>
      </c>
    </row>
    <row r="38" customFormat="false" ht="15" hidden="false" customHeight="false" outlineLevel="0" collapsed="false">
      <c r="A38" s="8" t="s">
        <v>185</v>
      </c>
      <c r="B38" s="8" t="s">
        <v>201</v>
      </c>
      <c r="C38" s="8" t="s">
        <v>202</v>
      </c>
      <c r="D38" s="8" t="s">
        <v>203</v>
      </c>
      <c r="E38" s="8" t="s">
        <v>204</v>
      </c>
      <c r="F38" s="8" t="s">
        <v>184</v>
      </c>
      <c r="G38" s="8" t="s">
        <v>36</v>
      </c>
      <c r="H38" s="9" t="s">
        <v>69</v>
      </c>
    </row>
    <row r="39" customFormat="false" ht="15" hidden="false" customHeight="false" outlineLevel="0" collapsed="false">
      <c r="A39" s="8" t="s">
        <v>185</v>
      </c>
      <c r="B39" s="8" t="s">
        <v>205</v>
      </c>
      <c r="C39" s="8" t="s">
        <v>206</v>
      </c>
      <c r="D39" s="8" t="s">
        <v>207</v>
      </c>
      <c r="E39" s="8" t="s">
        <v>208</v>
      </c>
      <c r="F39" s="8" t="s">
        <v>184</v>
      </c>
      <c r="G39" s="8" t="s">
        <v>36</v>
      </c>
      <c r="H39" s="9" t="s">
        <v>69</v>
      </c>
    </row>
    <row r="40" customFormat="false" ht="15" hidden="false" customHeight="false" outlineLevel="0" collapsed="false">
      <c r="A40" s="8" t="s">
        <v>185</v>
      </c>
      <c r="B40" s="8" t="s">
        <v>209</v>
      </c>
      <c r="C40" s="8" t="s">
        <v>210</v>
      </c>
      <c r="D40" s="8" t="s">
        <v>203</v>
      </c>
      <c r="E40" s="8" t="s">
        <v>211</v>
      </c>
      <c r="F40" s="8" t="s">
        <v>184</v>
      </c>
      <c r="G40" s="8" t="s">
        <v>36</v>
      </c>
      <c r="H40" s="8" t="s">
        <v>111</v>
      </c>
    </row>
    <row r="41" customFormat="false" ht="15" hidden="false" customHeight="false" outlineLevel="0" collapsed="false">
      <c r="A41" s="8" t="s">
        <v>185</v>
      </c>
      <c r="B41" s="8" t="s">
        <v>212</v>
      </c>
      <c r="C41" s="8" t="s">
        <v>213</v>
      </c>
      <c r="D41" s="8" t="s">
        <v>193</v>
      </c>
      <c r="E41" s="8" t="s">
        <v>214</v>
      </c>
      <c r="F41" s="8" t="s">
        <v>215</v>
      </c>
      <c r="G41" s="8" t="s">
        <v>36</v>
      </c>
      <c r="H41" s="8" t="s">
        <v>111</v>
      </c>
    </row>
    <row r="42" customFormat="false" ht="23.85" hidden="false" customHeight="false" outlineLevel="0" collapsed="false">
      <c r="A42" s="8" t="s">
        <v>216</v>
      </c>
      <c r="B42" s="8" t="s">
        <v>217</v>
      </c>
      <c r="C42" s="8" t="s">
        <v>218</v>
      </c>
      <c r="D42" s="8" t="s">
        <v>106</v>
      </c>
      <c r="E42" s="8" t="s">
        <v>219</v>
      </c>
      <c r="F42" s="8" t="s">
        <v>160</v>
      </c>
      <c r="G42" s="8" t="s">
        <v>36</v>
      </c>
      <c r="H42" s="9" t="s">
        <v>69</v>
      </c>
    </row>
    <row r="43" customFormat="false" ht="15" hidden="false" customHeight="false" outlineLevel="0" collapsed="false">
      <c r="A43" s="8" t="s">
        <v>216</v>
      </c>
      <c r="B43" s="8" t="s">
        <v>220</v>
      </c>
      <c r="C43" s="8" t="s">
        <v>221</v>
      </c>
      <c r="D43" s="8" t="s">
        <v>193</v>
      </c>
      <c r="E43" s="8" t="s">
        <v>222</v>
      </c>
      <c r="F43" s="8" t="s">
        <v>184</v>
      </c>
      <c r="G43" s="8" t="s">
        <v>36</v>
      </c>
      <c r="H43" s="9" t="s">
        <v>69</v>
      </c>
    </row>
    <row r="44" customFormat="false" ht="15" hidden="false" customHeight="false" outlineLevel="0" collapsed="false">
      <c r="A44" s="8" t="s">
        <v>216</v>
      </c>
      <c r="B44" s="8" t="s">
        <v>223</v>
      </c>
      <c r="C44" s="8" t="s">
        <v>224</v>
      </c>
      <c r="D44" s="8" t="s">
        <v>225</v>
      </c>
      <c r="E44" s="8" t="s">
        <v>226</v>
      </c>
      <c r="F44" s="8" t="s">
        <v>184</v>
      </c>
      <c r="G44" s="8" t="s">
        <v>36</v>
      </c>
      <c r="H44" s="9" t="s">
        <v>69</v>
      </c>
    </row>
    <row r="45" customFormat="false" ht="15" hidden="false" customHeight="false" outlineLevel="0" collapsed="false">
      <c r="A45" s="8" t="s">
        <v>216</v>
      </c>
      <c r="B45" s="8" t="s">
        <v>227</v>
      </c>
      <c r="C45" s="8" t="s">
        <v>228</v>
      </c>
      <c r="D45" s="8" t="s">
        <v>225</v>
      </c>
      <c r="E45" s="8" t="s">
        <v>229</v>
      </c>
      <c r="F45" s="8" t="s">
        <v>184</v>
      </c>
      <c r="G45" s="8" t="s">
        <v>36</v>
      </c>
      <c r="H45" s="9" t="s">
        <v>69</v>
      </c>
    </row>
    <row r="46" customFormat="false" ht="15" hidden="false" customHeight="false" outlineLevel="0" collapsed="false">
      <c r="A46" s="8" t="s">
        <v>230</v>
      </c>
      <c r="B46" s="8" t="s">
        <v>231</v>
      </c>
      <c r="C46" s="8" t="s">
        <v>232</v>
      </c>
      <c r="D46" s="8" t="s">
        <v>233</v>
      </c>
      <c r="E46" s="8" t="s">
        <v>234</v>
      </c>
      <c r="F46" s="8" t="s">
        <v>235</v>
      </c>
      <c r="G46" s="8" t="s">
        <v>36</v>
      </c>
      <c r="H46" s="9" t="s">
        <v>69</v>
      </c>
    </row>
    <row r="47" customFormat="false" ht="15" hidden="false" customHeight="false" outlineLevel="0" collapsed="false">
      <c r="A47" s="8" t="s">
        <v>230</v>
      </c>
      <c r="B47" s="8" t="s">
        <v>236</v>
      </c>
      <c r="C47" s="8" t="s">
        <v>237</v>
      </c>
      <c r="D47" s="8" t="s">
        <v>233</v>
      </c>
      <c r="E47" s="8" t="s">
        <v>238</v>
      </c>
      <c r="F47" s="8" t="s">
        <v>239</v>
      </c>
      <c r="G47" s="8" t="s">
        <v>40</v>
      </c>
      <c r="H47" s="9" t="s">
        <v>69</v>
      </c>
    </row>
    <row r="48" customFormat="false" ht="15" hidden="false" customHeight="false" outlineLevel="0" collapsed="false">
      <c r="A48" s="8" t="s">
        <v>230</v>
      </c>
      <c r="B48" s="8" t="s">
        <v>240</v>
      </c>
      <c r="C48" s="8" t="s">
        <v>241</v>
      </c>
      <c r="D48" s="8" t="s">
        <v>242</v>
      </c>
      <c r="E48" s="8" t="s">
        <v>243</v>
      </c>
      <c r="F48" s="8" t="s">
        <v>244</v>
      </c>
      <c r="G48" s="8" t="s">
        <v>40</v>
      </c>
      <c r="H48" s="9" t="s">
        <v>69</v>
      </c>
    </row>
    <row r="49" customFormat="false" ht="15" hidden="false" customHeight="false" outlineLevel="0" collapsed="false">
      <c r="A49" s="8" t="s">
        <v>230</v>
      </c>
      <c r="B49" s="8" t="s">
        <v>245</v>
      </c>
      <c r="C49" s="8" t="s">
        <v>246</v>
      </c>
      <c r="D49" s="8" t="s">
        <v>193</v>
      </c>
      <c r="E49" s="8" t="s">
        <v>247</v>
      </c>
      <c r="F49" s="8" t="s">
        <v>248</v>
      </c>
      <c r="G49" s="8" t="s">
        <v>40</v>
      </c>
      <c r="H49" s="9" t="s">
        <v>69</v>
      </c>
    </row>
    <row r="50" customFormat="false" ht="15" hidden="false" customHeight="false" outlineLevel="0" collapsed="false">
      <c r="A50" s="8" t="s">
        <v>230</v>
      </c>
      <c r="B50" s="8" t="s">
        <v>249</v>
      </c>
      <c r="C50" s="8" t="s">
        <v>250</v>
      </c>
      <c r="D50" s="8" t="s">
        <v>251</v>
      </c>
      <c r="E50" s="8" t="s">
        <v>252</v>
      </c>
      <c r="F50" s="8" t="s">
        <v>253</v>
      </c>
      <c r="G50" s="8" t="s">
        <v>40</v>
      </c>
      <c r="H50" s="9" t="s">
        <v>69</v>
      </c>
    </row>
    <row r="51" customFormat="false" ht="15" hidden="false" customHeight="false" outlineLevel="0" collapsed="false">
      <c r="A51" s="8" t="s">
        <v>230</v>
      </c>
      <c r="B51" s="8" t="s">
        <v>254</v>
      </c>
      <c r="C51" s="8" t="s">
        <v>255</v>
      </c>
      <c r="D51" s="8" t="s">
        <v>256</v>
      </c>
      <c r="E51" s="8" t="s">
        <v>257</v>
      </c>
      <c r="F51" s="8" t="s">
        <v>258</v>
      </c>
      <c r="G51" s="8" t="s">
        <v>40</v>
      </c>
      <c r="H51" s="9" t="s">
        <v>69</v>
      </c>
    </row>
    <row r="52" customFormat="false" ht="15" hidden="false" customHeight="false" outlineLevel="0" collapsed="false">
      <c r="A52" s="8" t="s">
        <v>230</v>
      </c>
      <c r="B52" s="8" t="s">
        <v>259</v>
      </c>
      <c r="C52" s="8" t="s">
        <v>260</v>
      </c>
      <c r="D52" s="8" t="s">
        <v>261</v>
      </c>
      <c r="E52" s="8" t="s">
        <v>262</v>
      </c>
      <c r="F52" s="8" t="s">
        <v>263</v>
      </c>
      <c r="G52" s="8" t="s">
        <v>40</v>
      </c>
      <c r="H52" s="9" t="s">
        <v>69</v>
      </c>
    </row>
    <row r="53" customFormat="false" ht="15" hidden="false" customHeight="false" outlineLevel="0" collapsed="false">
      <c r="A53" s="8" t="s">
        <v>230</v>
      </c>
      <c r="B53" s="8" t="s">
        <v>264</v>
      </c>
      <c r="C53" s="8" t="s">
        <v>265</v>
      </c>
      <c r="D53" s="8" t="s">
        <v>233</v>
      </c>
      <c r="E53" s="8" t="s">
        <v>266</v>
      </c>
      <c r="F53" s="8" t="s">
        <v>184</v>
      </c>
      <c r="G53" s="8" t="s">
        <v>40</v>
      </c>
      <c r="H53" s="9" t="s">
        <v>69</v>
      </c>
    </row>
    <row r="54" customFormat="false" ht="23.85" hidden="false" customHeight="false" outlineLevel="0" collapsed="false">
      <c r="A54" s="8" t="s">
        <v>230</v>
      </c>
      <c r="B54" s="8" t="s">
        <v>267</v>
      </c>
      <c r="C54" s="8" t="s">
        <v>45</v>
      </c>
      <c r="D54" s="8" t="s">
        <v>45</v>
      </c>
      <c r="E54" s="8" t="s">
        <v>268</v>
      </c>
      <c r="F54" s="8" t="s">
        <v>269</v>
      </c>
      <c r="G54" s="8" t="s">
        <v>42</v>
      </c>
      <c r="H54" s="8" t="s">
        <v>111</v>
      </c>
    </row>
    <row r="55" customFormat="false" ht="23.85" hidden="false" customHeight="false" outlineLevel="0" collapsed="false">
      <c r="A55" s="8" t="s">
        <v>270</v>
      </c>
      <c r="B55" s="8" t="s">
        <v>271</v>
      </c>
      <c r="C55" s="8" t="s">
        <v>272</v>
      </c>
      <c r="D55" s="8" t="s">
        <v>273</v>
      </c>
      <c r="E55" s="8" t="s">
        <v>274</v>
      </c>
      <c r="F55" s="8" t="s">
        <v>275</v>
      </c>
      <c r="G55" s="8" t="s">
        <v>38</v>
      </c>
      <c r="H55" s="9" t="s">
        <v>69</v>
      </c>
    </row>
    <row r="56" customFormat="false" ht="35.05" hidden="false" customHeight="false" outlineLevel="0" collapsed="false">
      <c r="A56" s="8" t="s">
        <v>270</v>
      </c>
      <c r="B56" s="8" t="s">
        <v>276</v>
      </c>
      <c r="C56" s="8" t="s">
        <v>277</v>
      </c>
      <c r="D56" s="8" t="s">
        <v>278</v>
      </c>
      <c r="E56" s="8" t="s">
        <v>279</v>
      </c>
      <c r="F56" s="8" t="s">
        <v>280</v>
      </c>
      <c r="G56" s="8" t="s">
        <v>38</v>
      </c>
      <c r="H56" s="9" t="s">
        <v>69</v>
      </c>
    </row>
    <row r="57" customFormat="false" ht="15" hidden="false" customHeight="false" outlineLevel="0" collapsed="false">
      <c r="A57" s="8" t="s">
        <v>270</v>
      </c>
      <c r="B57" s="8" t="s">
        <v>281</v>
      </c>
      <c r="C57" s="8" t="s">
        <v>282</v>
      </c>
      <c r="D57" s="8" t="s">
        <v>193</v>
      </c>
      <c r="E57" s="8" t="s">
        <v>283</v>
      </c>
      <c r="F57" s="8" t="s">
        <v>284</v>
      </c>
      <c r="G57" s="8" t="s">
        <v>38</v>
      </c>
      <c r="H57" s="9" t="s">
        <v>69</v>
      </c>
    </row>
    <row r="58" customFormat="false" ht="15" hidden="false" customHeight="false" outlineLevel="0" collapsed="false">
      <c r="A58" s="8" t="s">
        <v>270</v>
      </c>
      <c r="B58" s="8" t="s">
        <v>285</v>
      </c>
      <c r="C58" s="8" t="s">
        <v>286</v>
      </c>
      <c r="D58" s="8" t="s">
        <v>193</v>
      </c>
      <c r="E58" s="8" t="s">
        <v>287</v>
      </c>
      <c r="F58" s="8" t="s">
        <v>288</v>
      </c>
      <c r="G58" s="8" t="s">
        <v>38</v>
      </c>
      <c r="H58" s="9" t="s">
        <v>69</v>
      </c>
    </row>
    <row r="59" customFormat="false" ht="15" hidden="false" customHeight="false" outlineLevel="0" collapsed="false">
      <c r="A59" s="8" t="s">
        <v>270</v>
      </c>
      <c r="B59" s="8" t="s">
        <v>289</v>
      </c>
      <c r="C59" s="8" t="s">
        <v>290</v>
      </c>
      <c r="D59" s="8" t="s">
        <v>193</v>
      </c>
      <c r="E59" s="8" t="s">
        <v>291</v>
      </c>
      <c r="F59" s="8" t="s">
        <v>292</v>
      </c>
      <c r="G59" s="8" t="s">
        <v>38</v>
      </c>
      <c r="H59" s="9" t="s">
        <v>69</v>
      </c>
    </row>
    <row r="60" customFormat="false" ht="15" hidden="false" customHeight="false" outlineLevel="0" collapsed="false">
      <c r="A60" s="8" t="s">
        <v>270</v>
      </c>
      <c r="B60" s="8" t="s">
        <v>293</v>
      </c>
      <c r="C60" s="8" t="s">
        <v>294</v>
      </c>
      <c r="D60" s="8" t="s">
        <v>193</v>
      </c>
      <c r="E60" s="8" t="s">
        <v>295</v>
      </c>
      <c r="F60" s="8" t="s">
        <v>296</v>
      </c>
      <c r="G60" s="8" t="s">
        <v>38</v>
      </c>
      <c r="H60" s="9" t="s">
        <v>69</v>
      </c>
    </row>
    <row r="61" customFormat="false" ht="15" hidden="false" customHeight="false" outlineLevel="0" collapsed="false">
      <c r="A61" s="8" t="s">
        <v>270</v>
      </c>
      <c r="B61" s="8" t="s">
        <v>297</v>
      </c>
      <c r="C61" s="8" t="s">
        <v>298</v>
      </c>
      <c r="D61" s="8" t="s">
        <v>193</v>
      </c>
      <c r="E61" s="8" t="s">
        <v>299</v>
      </c>
      <c r="F61" s="8" t="s">
        <v>300</v>
      </c>
      <c r="G61" s="8" t="s">
        <v>38</v>
      </c>
      <c r="H61" s="9" t="s">
        <v>69</v>
      </c>
    </row>
    <row r="62" customFormat="false" ht="23.85" hidden="false" customHeight="false" outlineLevel="0" collapsed="false">
      <c r="A62" s="8" t="s">
        <v>270</v>
      </c>
      <c r="B62" s="8" t="s">
        <v>301</v>
      </c>
      <c r="C62" s="8" t="s">
        <v>302</v>
      </c>
      <c r="D62" s="8" t="s">
        <v>66</v>
      </c>
      <c r="E62" s="8" t="s">
        <v>303</v>
      </c>
      <c r="F62" s="8" t="s">
        <v>304</v>
      </c>
      <c r="G62" s="8" t="s">
        <v>38</v>
      </c>
      <c r="H62" s="9" t="s">
        <v>69</v>
      </c>
    </row>
    <row r="63" customFormat="false" ht="23.85" hidden="false" customHeight="false" outlineLevel="0" collapsed="false">
      <c r="A63" s="8" t="s">
        <v>270</v>
      </c>
      <c r="B63" s="8" t="s">
        <v>305</v>
      </c>
      <c r="C63" s="8" t="s">
        <v>306</v>
      </c>
      <c r="D63" s="8" t="s">
        <v>193</v>
      </c>
      <c r="E63" s="8" t="s">
        <v>307</v>
      </c>
      <c r="F63" s="8" t="s">
        <v>308</v>
      </c>
      <c r="G63" s="8" t="s">
        <v>38</v>
      </c>
      <c r="H63" s="9" t="s">
        <v>69</v>
      </c>
    </row>
    <row r="64" customFormat="false" ht="15" hidden="false" customHeight="false" outlineLevel="0" collapsed="false">
      <c r="A64" s="8" t="s">
        <v>270</v>
      </c>
      <c r="B64" s="8" t="s">
        <v>309</v>
      </c>
      <c r="C64" s="8" t="s">
        <v>310</v>
      </c>
      <c r="D64" s="8" t="s">
        <v>193</v>
      </c>
      <c r="E64" s="8" t="s">
        <v>311</v>
      </c>
      <c r="F64" s="8" t="s">
        <v>312</v>
      </c>
      <c r="G64" s="8" t="s">
        <v>38</v>
      </c>
      <c r="H64" s="9" t="s">
        <v>69</v>
      </c>
    </row>
    <row r="65" customFormat="false" ht="15" hidden="false" customHeight="false" outlineLevel="0" collapsed="false">
      <c r="A65" s="8" t="s">
        <v>270</v>
      </c>
      <c r="B65" s="8" t="s">
        <v>313</v>
      </c>
      <c r="C65" s="8" t="s">
        <v>314</v>
      </c>
      <c r="D65" s="8" t="s">
        <v>193</v>
      </c>
      <c r="E65" s="8" t="s">
        <v>315</v>
      </c>
      <c r="F65" s="8" t="s">
        <v>184</v>
      </c>
      <c r="G65" s="8" t="s">
        <v>38</v>
      </c>
      <c r="H65" s="9" t="s">
        <v>69</v>
      </c>
    </row>
    <row r="66" customFormat="false" ht="15" hidden="false" customHeight="false" outlineLevel="0" collapsed="false">
      <c r="A66" s="8" t="s">
        <v>270</v>
      </c>
      <c r="B66" s="8" t="s">
        <v>316</v>
      </c>
      <c r="C66" s="8" t="s">
        <v>317</v>
      </c>
      <c r="D66" s="8" t="s">
        <v>66</v>
      </c>
      <c r="E66" s="8" t="s">
        <v>318</v>
      </c>
      <c r="F66" s="8" t="s">
        <v>319</v>
      </c>
      <c r="G66" s="8" t="s">
        <v>38</v>
      </c>
      <c r="H66" s="9" t="s">
        <v>69</v>
      </c>
    </row>
    <row r="67" customFormat="false" ht="15" hidden="false" customHeight="false" outlineLevel="0" collapsed="false">
      <c r="A67" s="8" t="s">
        <v>270</v>
      </c>
      <c r="B67" s="8" t="s">
        <v>320</v>
      </c>
      <c r="C67" s="8" t="s">
        <v>321</v>
      </c>
      <c r="D67" s="8" t="s">
        <v>83</v>
      </c>
      <c r="E67" s="8" t="s">
        <v>322</v>
      </c>
      <c r="F67" s="8" t="s">
        <v>323</v>
      </c>
      <c r="G67" s="8" t="s">
        <v>38</v>
      </c>
      <c r="H67" s="9" t="s">
        <v>69</v>
      </c>
    </row>
    <row r="68" customFormat="false" ht="15" hidden="false" customHeight="false" outlineLevel="0" collapsed="false">
      <c r="A68" s="8" t="s">
        <v>324</v>
      </c>
      <c r="B68" s="8" t="s">
        <v>325</v>
      </c>
      <c r="C68" s="8" t="s">
        <v>326</v>
      </c>
      <c r="D68" s="8" t="s">
        <v>45</v>
      </c>
      <c r="E68" s="8" t="s">
        <v>327</v>
      </c>
      <c r="F68" s="8" t="s">
        <v>328</v>
      </c>
      <c r="G68" s="8" t="s">
        <v>32</v>
      </c>
      <c r="H68" s="9" t="s">
        <v>69</v>
      </c>
    </row>
    <row r="69" customFormat="false" ht="15" hidden="false" customHeight="false" outlineLevel="0" collapsed="false">
      <c r="A69" s="8" t="s">
        <v>324</v>
      </c>
      <c r="B69" s="8" t="s">
        <v>329</v>
      </c>
      <c r="C69" s="8" t="s">
        <v>330</v>
      </c>
      <c r="D69" s="8" t="s">
        <v>331</v>
      </c>
      <c r="E69" s="8" t="s">
        <v>332</v>
      </c>
      <c r="F69" s="8" t="s">
        <v>328</v>
      </c>
      <c r="G69" s="8" t="s">
        <v>32</v>
      </c>
      <c r="H69" s="9" t="s">
        <v>69</v>
      </c>
    </row>
    <row r="70" customFormat="false" ht="15" hidden="false" customHeight="false" outlineLevel="0" collapsed="false">
      <c r="A70" s="8" t="s">
        <v>324</v>
      </c>
      <c r="B70" s="8" t="s">
        <v>333</v>
      </c>
      <c r="C70" s="8" t="s">
        <v>334</v>
      </c>
      <c r="D70" s="8" t="s">
        <v>106</v>
      </c>
      <c r="E70" s="8" t="s">
        <v>335</v>
      </c>
      <c r="F70" s="8" t="s">
        <v>328</v>
      </c>
      <c r="G70" s="8" t="s">
        <v>32</v>
      </c>
      <c r="H70" s="9" t="s">
        <v>69</v>
      </c>
    </row>
    <row r="71" customFormat="false" ht="15" hidden="false" customHeight="false" outlineLevel="0" collapsed="false">
      <c r="A71" s="8" t="s">
        <v>324</v>
      </c>
      <c r="B71" s="8" t="s">
        <v>336</v>
      </c>
      <c r="C71" s="8" t="s">
        <v>337</v>
      </c>
      <c r="D71" s="8" t="s">
        <v>106</v>
      </c>
      <c r="E71" s="8" t="s">
        <v>338</v>
      </c>
      <c r="F71" s="8" t="s">
        <v>328</v>
      </c>
      <c r="G71" s="8" t="s">
        <v>32</v>
      </c>
      <c r="H71" s="9" t="s">
        <v>69</v>
      </c>
    </row>
    <row r="72" customFormat="false" ht="23.85" hidden="false" customHeight="false" outlineLevel="0" collapsed="false">
      <c r="A72" s="8" t="s">
        <v>324</v>
      </c>
      <c r="B72" s="8" t="s">
        <v>339</v>
      </c>
      <c r="C72" s="8" t="s">
        <v>340</v>
      </c>
      <c r="D72" s="8" t="s">
        <v>66</v>
      </c>
      <c r="E72" s="8" t="s">
        <v>341</v>
      </c>
      <c r="F72" s="8" t="s">
        <v>328</v>
      </c>
      <c r="G72" s="8" t="s">
        <v>32</v>
      </c>
      <c r="H72" s="9" t="s">
        <v>69</v>
      </c>
    </row>
    <row r="73" customFormat="false" ht="15" hidden="false" customHeight="false" outlineLevel="0" collapsed="false">
      <c r="A73" s="8" t="s">
        <v>324</v>
      </c>
      <c r="B73" s="8" t="s">
        <v>342</v>
      </c>
      <c r="C73" s="8" t="s">
        <v>343</v>
      </c>
      <c r="D73" s="8" t="s">
        <v>344</v>
      </c>
      <c r="E73" s="8" t="s">
        <v>345</v>
      </c>
      <c r="F73" s="8" t="s">
        <v>328</v>
      </c>
      <c r="G73" s="8" t="s">
        <v>32</v>
      </c>
      <c r="H73" s="9" t="s">
        <v>69</v>
      </c>
    </row>
    <row r="74" customFormat="false" ht="15" hidden="false" customHeight="false" outlineLevel="0" collapsed="false">
      <c r="A74" s="8" t="s">
        <v>346</v>
      </c>
      <c r="B74" s="8" t="s">
        <v>347</v>
      </c>
      <c r="C74" s="8" t="s">
        <v>348</v>
      </c>
      <c r="D74" s="8" t="s">
        <v>66</v>
      </c>
      <c r="E74" s="8" t="s">
        <v>349</v>
      </c>
      <c r="F74" s="8" t="s">
        <v>350</v>
      </c>
      <c r="G74" s="8" t="s">
        <v>30</v>
      </c>
      <c r="H74" s="9" t="s">
        <v>69</v>
      </c>
    </row>
    <row r="75" customFormat="false" ht="15" hidden="false" customHeight="false" outlineLevel="0" collapsed="false">
      <c r="A75" s="8" t="s">
        <v>346</v>
      </c>
      <c r="B75" s="8" t="s">
        <v>351</v>
      </c>
      <c r="C75" s="8" t="s">
        <v>352</v>
      </c>
      <c r="D75" s="8" t="s">
        <v>66</v>
      </c>
      <c r="E75" s="8" t="s">
        <v>353</v>
      </c>
      <c r="F75" s="8" t="s">
        <v>350</v>
      </c>
      <c r="G75" s="8" t="s">
        <v>30</v>
      </c>
      <c r="H75" s="9" t="s">
        <v>69</v>
      </c>
    </row>
    <row r="76" customFormat="false" ht="23.85" hidden="false" customHeight="false" outlineLevel="0" collapsed="false">
      <c r="A76" s="8" t="s">
        <v>346</v>
      </c>
      <c r="B76" s="8" t="s">
        <v>354</v>
      </c>
      <c r="C76" s="8" t="s">
        <v>355</v>
      </c>
      <c r="D76" s="8" t="s">
        <v>66</v>
      </c>
      <c r="E76" s="8" t="s">
        <v>356</v>
      </c>
      <c r="F76" s="8" t="s">
        <v>357</v>
      </c>
      <c r="G76" s="8" t="s">
        <v>30</v>
      </c>
      <c r="H76" s="9" t="s">
        <v>69</v>
      </c>
    </row>
    <row r="77" customFormat="false" ht="15" hidden="false" customHeight="false" outlineLevel="0" collapsed="false">
      <c r="A77" s="8" t="s">
        <v>346</v>
      </c>
      <c r="B77" s="8" t="s">
        <v>358</v>
      </c>
      <c r="C77" s="8" t="s">
        <v>359</v>
      </c>
      <c r="D77" s="8" t="s">
        <v>66</v>
      </c>
      <c r="E77" s="8" t="s">
        <v>360</v>
      </c>
      <c r="F77" s="8" t="s">
        <v>361</v>
      </c>
      <c r="G77" s="8" t="s">
        <v>30</v>
      </c>
      <c r="H77" s="9" t="s">
        <v>69</v>
      </c>
    </row>
    <row r="78" customFormat="false" ht="15" hidden="false" customHeight="false" outlineLevel="0" collapsed="false">
      <c r="A78" s="8" t="s">
        <v>346</v>
      </c>
      <c r="B78" s="8" t="s">
        <v>362</v>
      </c>
      <c r="C78" s="8" t="s">
        <v>363</v>
      </c>
      <c r="D78" s="8" t="s">
        <v>198</v>
      </c>
      <c r="E78" s="8" t="s">
        <v>364</v>
      </c>
      <c r="F78" s="8" t="s">
        <v>365</v>
      </c>
      <c r="G78" s="8" t="s">
        <v>30</v>
      </c>
      <c r="H78" s="9" t="s">
        <v>69</v>
      </c>
    </row>
  </sheetData>
  <autoFilter ref="A4:H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62"/>
  </cols>
  <sheetData>
    <row r="1" customFormat="false" ht="17.35" hidden="false" customHeight="false" outlineLevel="0" collapsed="false">
      <c r="A1" s="6" t="s">
        <v>366</v>
      </c>
    </row>
    <row r="2" customFormat="false" ht="15" hidden="false" customHeight="false" outlineLevel="0" collapsed="false">
      <c r="A2" s="5" t="s">
        <v>367</v>
      </c>
    </row>
    <row r="3" customFormat="false" ht="33.75" hidden="false" customHeight="true" outlineLevel="0" collapsed="false">
      <c r="A3" s="7" t="s">
        <v>368</v>
      </c>
      <c r="B3" s="7" t="s">
        <v>369</v>
      </c>
      <c r="C3" s="7" t="s">
        <v>58</v>
      </c>
      <c r="D3" s="7" t="s">
        <v>370</v>
      </c>
    </row>
    <row r="4" customFormat="false" ht="15" hidden="false" customHeight="false" outlineLevel="0" collapsed="false">
      <c r="A4" s="10" t="s">
        <v>371</v>
      </c>
      <c r="B4" s="11"/>
      <c r="C4" s="11"/>
      <c r="D4" s="11"/>
    </row>
    <row r="5" customFormat="false" ht="15" hidden="false" customHeight="false" outlineLevel="0" collapsed="false">
      <c r="A5" s="2" t="s">
        <v>372</v>
      </c>
      <c r="B5" s="12"/>
      <c r="C5" s="2" t="s">
        <v>66</v>
      </c>
      <c r="D5" s="3" t="s">
        <v>373</v>
      </c>
    </row>
    <row r="6" customFormat="false" ht="15" hidden="false" customHeight="false" outlineLevel="0" collapsed="false">
      <c r="A6" s="2" t="s">
        <v>374</v>
      </c>
      <c r="B6" s="12"/>
      <c r="C6" s="2" t="s">
        <v>66</v>
      </c>
      <c r="D6" s="3" t="s">
        <v>375</v>
      </c>
    </row>
    <row r="7" customFormat="false" ht="15" hidden="false" customHeight="false" outlineLevel="0" collapsed="false">
      <c r="A7" s="2" t="s">
        <v>376</v>
      </c>
      <c r="B7" s="12"/>
      <c r="C7" s="2" t="s">
        <v>66</v>
      </c>
      <c r="D7" s="3" t="s">
        <v>377</v>
      </c>
    </row>
    <row r="8" customFormat="false" ht="15" hidden="false" customHeight="false" outlineLevel="0" collapsed="false">
      <c r="A8" s="2" t="s">
        <v>378</v>
      </c>
      <c r="B8" s="12"/>
      <c r="C8" s="2" t="s">
        <v>106</v>
      </c>
      <c r="D8" s="3" t="s">
        <v>379</v>
      </c>
    </row>
    <row r="9" customFormat="false" ht="15" hidden="false" customHeight="false" outlineLevel="0" collapsed="false">
      <c r="A9" s="2" t="s">
        <v>380</v>
      </c>
      <c r="B9" s="12"/>
      <c r="C9" s="2" t="s">
        <v>188</v>
      </c>
      <c r="D9" s="3" t="s">
        <v>381</v>
      </c>
    </row>
    <row r="10" customFormat="false" ht="15" hidden="false" customHeight="false" outlineLevel="0" collapsed="false">
      <c r="A10" s="2" t="s">
        <v>359</v>
      </c>
      <c r="B10" s="12"/>
      <c r="C10" s="2" t="s">
        <v>66</v>
      </c>
      <c r="D10" s="3" t="s">
        <v>382</v>
      </c>
    </row>
    <row r="11" customFormat="false" ht="15" hidden="false" customHeight="false" outlineLevel="0" collapsed="false">
      <c r="A11" s="2" t="s">
        <v>363</v>
      </c>
      <c r="B11" s="12"/>
      <c r="C11" s="2" t="s">
        <v>198</v>
      </c>
      <c r="D11" s="3" t="s">
        <v>383</v>
      </c>
    </row>
    <row r="12" customFormat="false" ht="15" hidden="false" customHeight="false" outlineLevel="0" collapsed="false">
      <c r="A12" s="2" t="s">
        <v>384</v>
      </c>
      <c r="B12" s="12"/>
      <c r="C12" s="2" t="s">
        <v>66</v>
      </c>
      <c r="D12" s="3" t="s">
        <v>385</v>
      </c>
    </row>
    <row r="13" customFormat="false" ht="15" hidden="false" customHeight="false" outlineLevel="0" collapsed="false">
      <c r="A13" s="2" t="s">
        <v>386</v>
      </c>
      <c r="B13" s="12"/>
      <c r="C13" s="2" t="s">
        <v>106</v>
      </c>
      <c r="D13" s="3" t="s">
        <v>387</v>
      </c>
    </row>
    <row r="14" customFormat="false" ht="15" hidden="false" customHeight="false" outlineLevel="0" collapsed="false">
      <c r="A14" s="2" t="s">
        <v>388</v>
      </c>
      <c r="B14" s="12"/>
      <c r="C14" s="2" t="s">
        <v>188</v>
      </c>
      <c r="D14" s="3" t="s">
        <v>389</v>
      </c>
    </row>
    <row r="15" customFormat="false" ht="15" hidden="false" customHeight="false" outlineLevel="0" collapsed="false">
      <c r="A15" s="2" t="s">
        <v>390</v>
      </c>
      <c r="B15" s="12"/>
      <c r="C15" s="2" t="s">
        <v>66</v>
      </c>
      <c r="D15" s="3" t="s">
        <v>391</v>
      </c>
    </row>
    <row r="16" customFormat="false" ht="15" hidden="false" customHeight="false" outlineLevel="0" collapsed="false">
      <c r="A16" s="2" t="s">
        <v>392</v>
      </c>
      <c r="B16" s="12"/>
      <c r="C16" s="2" t="s">
        <v>66</v>
      </c>
      <c r="D16" s="3" t="s">
        <v>393</v>
      </c>
    </row>
    <row r="17" customFormat="false" ht="15" hidden="false" customHeight="false" outlineLevel="0" collapsed="false">
      <c r="A17" s="10" t="s">
        <v>394</v>
      </c>
      <c r="B17" s="11"/>
      <c r="C17" s="11"/>
      <c r="D17" s="11"/>
    </row>
    <row r="18" customFormat="false" ht="15" hidden="false" customHeight="false" outlineLevel="0" collapsed="false">
      <c r="A18" s="2" t="s">
        <v>395</v>
      </c>
      <c r="B18" s="12"/>
      <c r="C18" s="2" t="s">
        <v>66</v>
      </c>
      <c r="D18" s="3" t="s">
        <v>396</v>
      </c>
    </row>
    <row r="19" customFormat="false" ht="15" hidden="false" customHeight="false" outlineLevel="0" collapsed="false">
      <c r="A19" s="2" t="s">
        <v>397</v>
      </c>
      <c r="B19" s="12"/>
      <c r="C19" s="2" t="s">
        <v>66</v>
      </c>
      <c r="D19" s="3" t="s">
        <v>398</v>
      </c>
    </row>
    <row r="20" customFormat="false" ht="15" hidden="false" customHeight="false" outlineLevel="0" collapsed="false">
      <c r="A20" s="2" t="s">
        <v>399</v>
      </c>
      <c r="B20" s="12"/>
      <c r="C20" s="2" t="s">
        <v>66</v>
      </c>
      <c r="D20" s="3" t="s">
        <v>400</v>
      </c>
    </row>
    <row r="21" customFormat="false" ht="15" hidden="false" customHeight="false" outlineLevel="0" collapsed="false">
      <c r="A21" s="2" t="s">
        <v>401</v>
      </c>
      <c r="B21" s="12"/>
      <c r="C21" s="2" t="s">
        <v>66</v>
      </c>
      <c r="D21" s="3" t="s">
        <v>402</v>
      </c>
    </row>
    <row r="22" customFormat="false" ht="15" hidden="false" customHeight="false" outlineLevel="0" collapsed="false">
      <c r="A22" s="2" t="s">
        <v>403</v>
      </c>
      <c r="B22" s="12"/>
      <c r="C22" s="2" t="s">
        <v>66</v>
      </c>
      <c r="D22" s="3" t="s">
        <v>404</v>
      </c>
    </row>
    <row r="23" customFormat="false" ht="15" hidden="false" customHeight="false" outlineLevel="0" collapsed="false">
      <c r="A23" s="2" t="s">
        <v>405</v>
      </c>
      <c r="B23" s="12"/>
      <c r="C23" s="2" t="s">
        <v>66</v>
      </c>
      <c r="D23" s="3" t="s">
        <v>406</v>
      </c>
    </row>
    <row r="24" customFormat="false" ht="15" hidden="false" customHeight="false" outlineLevel="0" collapsed="false">
      <c r="A24" s="2" t="s">
        <v>407</v>
      </c>
      <c r="B24" s="12"/>
      <c r="C24" s="2" t="s">
        <v>66</v>
      </c>
      <c r="D24" s="3" t="s">
        <v>408</v>
      </c>
    </row>
    <row r="25" customFormat="false" ht="15" hidden="false" customHeight="false" outlineLevel="0" collapsed="false">
      <c r="A25" s="2" t="s">
        <v>409</v>
      </c>
      <c r="B25" s="12"/>
      <c r="C25" s="2" t="s">
        <v>66</v>
      </c>
      <c r="D25" s="3" t="s">
        <v>410</v>
      </c>
    </row>
    <row r="26" customFormat="false" ht="15" hidden="false" customHeight="false" outlineLevel="0" collapsed="false">
      <c r="A26" s="2" t="s">
        <v>411</v>
      </c>
      <c r="B26" s="12"/>
      <c r="C26" s="2" t="s">
        <v>66</v>
      </c>
      <c r="D26" s="3" t="s">
        <v>412</v>
      </c>
    </row>
    <row r="27" customFormat="false" ht="15" hidden="false" customHeight="false" outlineLevel="0" collapsed="false">
      <c r="A27" s="2" t="s">
        <v>413</v>
      </c>
      <c r="B27" s="12"/>
      <c r="C27" s="2" t="s">
        <v>66</v>
      </c>
      <c r="D27" s="3" t="s">
        <v>414</v>
      </c>
    </row>
    <row r="28" customFormat="false" ht="15" hidden="false" customHeight="false" outlineLevel="0" collapsed="false">
      <c r="A28" s="2" t="s">
        <v>415</v>
      </c>
      <c r="B28" s="12"/>
      <c r="C28" s="2" t="s">
        <v>66</v>
      </c>
      <c r="D28" s="3" t="s">
        <v>416</v>
      </c>
    </row>
    <row r="29" customFormat="false" ht="15" hidden="false" customHeight="false" outlineLevel="0" collapsed="false">
      <c r="A29" s="2" t="s">
        <v>417</v>
      </c>
      <c r="B29" s="12"/>
      <c r="C29" s="2" t="s">
        <v>66</v>
      </c>
      <c r="D29" s="3" t="s">
        <v>418</v>
      </c>
    </row>
    <row r="30" customFormat="false" ht="15" hidden="false" customHeight="false" outlineLevel="0" collapsed="false">
      <c r="A30" s="2" t="s">
        <v>419</v>
      </c>
      <c r="B30" s="12"/>
      <c r="C30" s="2" t="s">
        <v>66</v>
      </c>
      <c r="D30" s="3" t="s">
        <v>420</v>
      </c>
    </row>
    <row r="31" customFormat="false" ht="15" hidden="false" customHeight="false" outlineLevel="0" collapsed="false">
      <c r="A31" s="10" t="s">
        <v>421</v>
      </c>
      <c r="B31" s="11"/>
      <c r="C31" s="11"/>
      <c r="D31" s="11"/>
    </row>
    <row r="32" customFormat="false" ht="15" hidden="false" customHeight="false" outlineLevel="0" collapsed="false">
      <c r="A32" s="2" t="s">
        <v>422</v>
      </c>
      <c r="B32" s="12"/>
      <c r="C32" s="2" t="s">
        <v>66</v>
      </c>
      <c r="D32" s="3" t="s">
        <v>423</v>
      </c>
    </row>
    <row r="33" customFormat="false" ht="15" hidden="false" customHeight="false" outlineLevel="0" collapsed="false">
      <c r="A33" s="2" t="s">
        <v>424</v>
      </c>
      <c r="B33" s="12" t="s">
        <v>425</v>
      </c>
      <c r="C33" s="2" t="s">
        <v>426</v>
      </c>
      <c r="D33" s="3" t="s">
        <v>427</v>
      </c>
    </row>
    <row r="34" customFormat="false" ht="35.05" hidden="false" customHeight="false" outlineLevel="0" collapsed="false">
      <c r="A34" s="2" t="s">
        <v>428</v>
      </c>
      <c r="B34" s="12"/>
      <c r="C34" s="2" t="s">
        <v>106</v>
      </c>
      <c r="D34" s="3" t="s">
        <v>429</v>
      </c>
    </row>
    <row r="35" customFormat="false" ht="15" hidden="false" customHeight="false" outlineLevel="0" collapsed="false">
      <c r="A35" s="2" t="s">
        <v>430</v>
      </c>
      <c r="B35" s="12"/>
      <c r="C35" s="2" t="s">
        <v>106</v>
      </c>
      <c r="D35" s="3" t="s">
        <v>431</v>
      </c>
    </row>
    <row r="36" customFormat="false" ht="15" hidden="false" customHeight="false" outlineLevel="0" collapsed="false">
      <c r="A36" s="2" t="s">
        <v>432</v>
      </c>
      <c r="B36" s="12"/>
      <c r="C36" s="2" t="s">
        <v>66</v>
      </c>
      <c r="D36" s="3" t="s">
        <v>433</v>
      </c>
    </row>
    <row r="37" customFormat="false" ht="15" hidden="false" customHeight="false" outlineLevel="0" collapsed="false">
      <c r="A37" s="2" t="s">
        <v>434</v>
      </c>
      <c r="B37" s="12"/>
      <c r="C37" s="2" t="s">
        <v>435</v>
      </c>
      <c r="D37" s="3" t="s">
        <v>436</v>
      </c>
    </row>
    <row r="38" customFormat="false" ht="15" hidden="false" customHeight="false" outlineLevel="0" collapsed="false">
      <c r="A38" s="2" t="s">
        <v>437</v>
      </c>
      <c r="B38" s="12"/>
      <c r="C38" s="2" t="s">
        <v>66</v>
      </c>
      <c r="D38" s="3" t="s">
        <v>438</v>
      </c>
    </row>
    <row r="39" customFormat="false" ht="15" hidden="false" customHeight="false" outlineLevel="0" collapsed="false">
      <c r="A39" s="2" t="s">
        <v>439</v>
      </c>
      <c r="B39" s="12"/>
      <c r="C39" s="2" t="s">
        <v>435</v>
      </c>
      <c r="D39" s="3" t="s">
        <v>440</v>
      </c>
    </row>
    <row r="40" customFormat="false" ht="15" hidden="false" customHeight="false" outlineLevel="0" collapsed="false">
      <c r="A40" s="2" t="s">
        <v>441</v>
      </c>
      <c r="B40" s="12"/>
      <c r="C40" s="2" t="s">
        <v>442</v>
      </c>
      <c r="D40" s="3" t="s">
        <v>443</v>
      </c>
    </row>
    <row r="41" customFormat="false" ht="15" hidden="false" customHeight="false" outlineLevel="0" collapsed="false">
      <c r="A41" s="10" t="s">
        <v>444</v>
      </c>
      <c r="B41" s="11"/>
      <c r="C41" s="11"/>
      <c r="D41" s="11"/>
    </row>
    <row r="42" customFormat="false" ht="15" hidden="false" customHeight="false" outlineLevel="0" collapsed="false">
      <c r="A42" s="2" t="s">
        <v>445</v>
      </c>
      <c r="B42" s="12"/>
      <c r="C42" s="2" t="s">
        <v>446</v>
      </c>
      <c r="D42" s="3" t="s">
        <v>447</v>
      </c>
    </row>
    <row r="43" customFormat="false" ht="15" hidden="false" customHeight="false" outlineLevel="0" collapsed="false">
      <c r="A43" s="2" t="s">
        <v>448</v>
      </c>
      <c r="B43" s="12"/>
      <c r="C43" s="2" t="s">
        <v>449</v>
      </c>
      <c r="D43" s="3" t="s">
        <v>450</v>
      </c>
    </row>
    <row r="44" customFormat="false" ht="15" hidden="false" customHeight="false" outlineLevel="0" collapsed="false">
      <c r="A44" s="2" t="s">
        <v>451</v>
      </c>
      <c r="B44" s="12"/>
      <c r="C44" s="2" t="s">
        <v>449</v>
      </c>
      <c r="D44" s="3" t="s">
        <v>452</v>
      </c>
    </row>
    <row r="45" customFormat="false" ht="15" hidden="false" customHeight="false" outlineLevel="0" collapsed="false">
      <c r="A45" s="2" t="s">
        <v>453</v>
      </c>
      <c r="B45" s="12"/>
      <c r="C45" s="2" t="s">
        <v>66</v>
      </c>
      <c r="D45" s="3" t="s">
        <v>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62"/>
  </cols>
  <sheetData>
    <row r="1" customFormat="false" ht="17.35" hidden="false" customHeight="false" outlineLevel="0" collapsed="false">
      <c r="A1" s="6" t="s">
        <v>455</v>
      </c>
    </row>
    <row r="2" customFormat="false" ht="15" hidden="false" customHeight="false" outlineLevel="0" collapsed="false">
      <c r="A2" s="5" t="s">
        <v>456</v>
      </c>
    </row>
    <row r="3" customFormat="false" ht="33.75" hidden="false" customHeight="true" outlineLevel="0" collapsed="false">
      <c r="A3" s="7" t="s">
        <v>368</v>
      </c>
      <c r="B3" s="7" t="s">
        <v>369</v>
      </c>
      <c r="C3" s="7" t="s">
        <v>58</v>
      </c>
      <c r="D3" s="7" t="s">
        <v>370</v>
      </c>
    </row>
    <row r="4" customFormat="false" ht="15" hidden="false" customHeight="false" outlineLevel="0" collapsed="false">
      <c r="A4" s="10" t="s">
        <v>457</v>
      </c>
      <c r="B4" s="11"/>
      <c r="C4" s="11"/>
      <c r="D4" s="11"/>
    </row>
    <row r="5" customFormat="false" ht="15" hidden="false" customHeight="false" outlineLevel="0" collapsed="false">
      <c r="A5" s="2" t="s">
        <v>458</v>
      </c>
      <c r="B5" s="12" t="s">
        <v>459</v>
      </c>
      <c r="C5" s="2" t="s">
        <v>66</v>
      </c>
      <c r="D5" s="3" t="s">
        <v>460</v>
      </c>
    </row>
    <row r="6" customFormat="false" ht="15" hidden="false" customHeight="false" outlineLevel="0" collapsed="false">
      <c r="A6" s="2" t="s">
        <v>461</v>
      </c>
      <c r="B6" s="12"/>
      <c r="C6" s="2" t="s">
        <v>66</v>
      </c>
      <c r="D6" s="3" t="s">
        <v>462</v>
      </c>
    </row>
    <row r="7" customFormat="false" ht="15" hidden="false" customHeight="false" outlineLevel="0" collapsed="false">
      <c r="A7" s="2" t="s">
        <v>463</v>
      </c>
      <c r="B7" s="12"/>
      <c r="C7" s="2" t="s">
        <v>464</v>
      </c>
      <c r="D7" s="3" t="s">
        <v>465</v>
      </c>
    </row>
    <row r="8" customFormat="false" ht="15" hidden="false" customHeight="false" outlineLevel="0" collapsed="false">
      <c r="A8" s="2" t="s">
        <v>466</v>
      </c>
      <c r="B8" s="12"/>
      <c r="C8" s="2" t="s">
        <v>464</v>
      </c>
      <c r="D8" s="3" t="s">
        <v>467</v>
      </c>
    </row>
    <row r="9" customFormat="false" ht="15" hidden="false" customHeight="false" outlineLevel="0" collapsed="false">
      <c r="A9" s="10" t="s">
        <v>468</v>
      </c>
      <c r="B9" s="11"/>
      <c r="C9" s="11"/>
      <c r="D9" s="11"/>
    </row>
    <row r="10" customFormat="false" ht="15" hidden="false" customHeight="false" outlineLevel="0" collapsed="false">
      <c r="A10" s="2" t="s">
        <v>469</v>
      </c>
      <c r="B10" s="12" t="s">
        <v>470</v>
      </c>
      <c r="C10" s="2" t="s">
        <v>471</v>
      </c>
      <c r="D10" s="3" t="s">
        <v>472</v>
      </c>
    </row>
    <row r="11" customFormat="false" ht="23.85" hidden="false" customHeight="false" outlineLevel="0" collapsed="false">
      <c r="A11" s="2" t="s">
        <v>473</v>
      </c>
      <c r="B11" s="12" t="s">
        <v>474</v>
      </c>
      <c r="C11" s="2" t="s">
        <v>471</v>
      </c>
      <c r="D11" s="3" t="s">
        <v>475</v>
      </c>
    </row>
    <row r="12" customFormat="false" ht="15" hidden="false" customHeight="false" outlineLevel="0" collapsed="false">
      <c r="A12" s="2" t="s">
        <v>476</v>
      </c>
      <c r="B12" s="12" t="s">
        <v>477</v>
      </c>
      <c r="C12" s="2" t="s">
        <v>471</v>
      </c>
      <c r="D12" s="3" t="s">
        <v>478</v>
      </c>
    </row>
    <row r="13" customFormat="false" ht="15" hidden="false" customHeight="false" outlineLevel="0" collapsed="false">
      <c r="A13" s="2" t="s">
        <v>479</v>
      </c>
      <c r="B13" s="12" t="s">
        <v>480</v>
      </c>
      <c r="C13" s="2" t="s">
        <v>471</v>
      </c>
      <c r="D13" s="3" t="s">
        <v>481</v>
      </c>
    </row>
    <row r="14" customFormat="false" ht="15" hidden="false" customHeight="false" outlineLevel="0" collapsed="false">
      <c r="A14" s="2" t="s">
        <v>482</v>
      </c>
      <c r="B14" s="12" t="s">
        <v>483</v>
      </c>
      <c r="C14" s="2" t="s">
        <v>471</v>
      </c>
      <c r="D14" s="3" t="s">
        <v>484</v>
      </c>
    </row>
    <row r="15" customFormat="false" ht="15" hidden="false" customHeight="false" outlineLevel="0" collapsed="false">
      <c r="A15" s="10" t="s">
        <v>485</v>
      </c>
      <c r="B15" s="11"/>
      <c r="C15" s="11"/>
      <c r="D15" s="11"/>
    </row>
    <row r="16" customFormat="false" ht="15" hidden="false" customHeight="false" outlineLevel="0" collapsed="false">
      <c r="A16" s="2" t="s">
        <v>486</v>
      </c>
      <c r="B16" s="12" t="n">
        <v>0</v>
      </c>
      <c r="C16" s="2" t="s">
        <v>45</v>
      </c>
      <c r="D16" s="3" t="s">
        <v>487</v>
      </c>
    </row>
    <row r="17" customFormat="false" ht="15" hidden="false" customHeight="false" outlineLevel="0" collapsed="false">
      <c r="A17" s="2" t="s">
        <v>488</v>
      </c>
      <c r="B17" s="12" t="n">
        <v>0.7</v>
      </c>
      <c r="C17" s="2" t="s">
        <v>45</v>
      </c>
      <c r="D17" s="3" t="s">
        <v>489</v>
      </c>
    </row>
    <row r="18" customFormat="false" ht="15" hidden="false" customHeight="false" outlineLevel="0" collapsed="false">
      <c r="A18" s="2" t="s">
        <v>490</v>
      </c>
      <c r="B18" s="12" t="n">
        <v>1</v>
      </c>
      <c r="C18" s="2" t="s">
        <v>45</v>
      </c>
      <c r="D18" s="3" t="s">
        <v>491</v>
      </c>
    </row>
    <row r="19" customFormat="false" ht="15" hidden="false" customHeight="false" outlineLevel="0" collapsed="false">
      <c r="A19" s="2" t="s">
        <v>492</v>
      </c>
      <c r="B19" s="12" t="n">
        <v>-1</v>
      </c>
      <c r="C19" s="2" t="s">
        <v>45</v>
      </c>
      <c r="D19" s="3" t="s">
        <v>493</v>
      </c>
    </row>
    <row r="20" customFormat="false" ht="15" hidden="false" customHeight="false" outlineLevel="0" collapsed="false">
      <c r="A20" s="2" t="s">
        <v>494</v>
      </c>
      <c r="B20" s="12" t="n">
        <v>1024</v>
      </c>
      <c r="C20" s="2" t="s">
        <v>83</v>
      </c>
      <c r="D20" s="3" t="s">
        <v>495</v>
      </c>
    </row>
    <row r="21" customFormat="false" ht="15" hidden="false" customHeight="false" outlineLevel="0" collapsed="false">
      <c r="A21" s="2" t="s">
        <v>330</v>
      </c>
      <c r="B21" s="12" t="n">
        <v>42</v>
      </c>
      <c r="C21" s="2" t="s">
        <v>331</v>
      </c>
      <c r="D21" s="3" t="s">
        <v>496</v>
      </c>
    </row>
    <row r="22" customFormat="false" ht="15" hidden="false" customHeight="false" outlineLevel="0" collapsed="false">
      <c r="A22" s="2" t="s">
        <v>497</v>
      </c>
      <c r="B22" s="12" t="s">
        <v>498</v>
      </c>
      <c r="C22" s="2" t="s">
        <v>449</v>
      </c>
      <c r="D22" s="3" t="s">
        <v>499</v>
      </c>
    </row>
    <row r="23" customFormat="false" ht="15" hidden="false" customHeight="false" outlineLevel="0" collapsed="false">
      <c r="A23" s="10" t="s">
        <v>500</v>
      </c>
      <c r="B23" s="11"/>
      <c r="C23" s="11"/>
      <c r="D23" s="11"/>
    </row>
    <row r="24" customFormat="false" ht="15" hidden="false" customHeight="false" outlineLevel="0" collapsed="false">
      <c r="A24" s="2" t="s">
        <v>337</v>
      </c>
      <c r="B24" s="12" t="n">
        <v>20</v>
      </c>
      <c r="C24" s="2" t="s">
        <v>106</v>
      </c>
      <c r="D24" s="3" t="s">
        <v>501</v>
      </c>
    </row>
    <row r="25" customFormat="false" ht="15" hidden="false" customHeight="false" outlineLevel="0" collapsed="false">
      <c r="A25" s="2" t="s">
        <v>334</v>
      </c>
      <c r="B25" s="12" t="n">
        <v>5</v>
      </c>
      <c r="C25" s="2" t="s">
        <v>106</v>
      </c>
      <c r="D25" s="3" t="s">
        <v>502</v>
      </c>
    </row>
    <row r="26" customFormat="false" ht="15" hidden="false" customHeight="false" outlineLevel="0" collapsed="false">
      <c r="A26" s="2" t="s">
        <v>503</v>
      </c>
      <c r="B26" s="12" t="n">
        <v>60</v>
      </c>
      <c r="C26" s="2" t="s">
        <v>124</v>
      </c>
      <c r="D26" s="3" t="s">
        <v>504</v>
      </c>
    </row>
    <row r="27" customFormat="false" ht="15" hidden="false" customHeight="false" outlineLevel="0" collapsed="false">
      <c r="A27" s="2" t="s">
        <v>505</v>
      </c>
      <c r="B27" s="12" t="s">
        <v>506</v>
      </c>
      <c r="C27" s="2" t="s">
        <v>66</v>
      </c>
      <c r="D27" s="3" t="s">
        <v>507</v>
      </c>
    </row>
    <row r="28" customFormat="false" ht="15" hidden="false" customHeight="false" outlineLevel="0" collapsed="false">
      <c r="A28" s="2" t="s">
        <v>340</v>
      </c>
      <c r="B28" s="12"/>
      <c r="C28" s="2" t="s">
        <v>66</v>
      </c>
      <c r="D28" s="3" t="s">
        <v>508</v>
      </c>
    </row>
    <row r="29" customFormat="false" ht="15" hidden="false" customHeight="false" outlineLevel="0" collapsed="false">
      <c r="A29" s="2" t="s">
        <v>509</v>
      </c>
      <c r="B29" s="12" t="n">
        <v>1</v>
      </c>
      <c r="C29" s="2" t="s">
        <v>124</v>
      </c>
      <c r="D29" s="3" t="s">
        <v>510</v>
      </c>
    </row>
    <row r="30" customFormat="false" ht="15" hidden="false" customHeight="false" outlineLevel="0" collapsed="false">
      <c r="A30" s="10" t="s">
        <v>511</v>
      </c>
      <c r="B30" s="11"/>
      <c r="C30" s="11"/>
      <c r="D30" s="11"/>
    </row>
    <row r="31" customFormat="false" ht="15" hidden="false" customHeight="false" outlineLevel="0" collapsed="false">
      <c r="A31" s="2" t="s">
        <v>512</v>
      </c>
      <c r="B31" s="12" t="n">
        <v>500</v>
      </c>
      <c r="C31" s="2" t="s">
        <v>154</v>
      </c>
      <c r="D31" s="3" t="s">
        <v>513</v>
      </c>
    </row>
    <row r="32" customFormat="false" ht="15" hidden="false" customHeight="false" outlineLevel="0" collapsed="false">
      <c r="A32" s="2" t="s">
        <v>514</v>
      </c>
      <c r="B32" s="12" t="n">
        <v>50</v>
      </c>
      <c r="C32" s="2" t="s">
        <v>154</v>
      </c>
      <c r="D32" s="3" t="s">
        <v>515</v>
      </c>
    </row>
    <row r="33" customFormat="false" ht="15" hidden="false" customHeight="false" outlineLevel="0" collapsed="false">
      <c r="A33" s="2" t="s">
        <v>516</v>
      </c>
      <c r="B33" s="12" t="n">
        <v>20</v>
      </c>
      <c r="C33" s="2" t="s">
        <v>170</v>
      </c>
      <c r="D33" s="3" t="s">
        <v>517</v>
      </c>
    </row>
    <row r="34" customFormat="false" ht="15" hidden="false" customHeight="false" outlineLevel="0" collapsed="false">
      <c r="A34" s="2" t="s">
        <v>518</v>
      </c>
      <c r="B34" s="12" t="n">
        <v>1</v>
      </c>
      <c r="C34" s="2" t="s">
        <v>193</v>
      </c>
      <c r="D34" s="3" t="s">
        <v>519</v>
      </c>
    </row>
    <row r="35" customFormat="false" ht="15" hidden="false" customHeight="false" outlineLevel="0" collapsed="false">
      <c r="A35" s="2" t="s">
        <v>453</v>
      </c>
      <c r="B35" s="12"/>
      <c r="C35" s="2" t="s">
        <v>66</v>
      </c>
      <c r="D3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22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42"/>
    <col collapsed="false" customWidth="true" hidden="false" outlineLevel="0" max="13" min="13" style="0" width="26"/>
    <col collapsed="false" customWidth="true" hidden="false" outlineLevel="0" max="14" min="14" style="0" width="24"/>
    <col collapsed="false" customWidth="true" hidden="false" outlineLevel="0" max="15" min="15" style="0" width="13"/>
    <col collapsed="false" customWidth="true" hidden="false" outlineLevel="0" max="16" min="16" style="0" width="22"/>
    <col collapsed="false" customWidth="true" hidden="false" outlineLevel="0" max="17" min="17" style="0" width="9"/>
    <col collapsed="false" customWidth="true" hidden="false" outlineLevel="0" max="18" min="18" style="0" width="46"/>
  </cols>
  <sheetData>
    <row r="1" customFormat="false" ht="17.35" hidden="false" customHeight="false" outlineLevel="0" collapsed="false">
      <c r="A1" s="6" t="s">
        <v>520</v>
      </c>
    </row>
    <row r="2" customFormat="false" ht="15" hidden="false" customHeight="false" outlineLevel="0" collapsed="false">
      <c r="A2" s="5" t="s">
        <v>521</v>
      </c>
    </row>
    <row r="4" customFormat="false" ht="33.75" hidden="false" customHeight="true" outlineLevel="0" collapsed="false">
      <c r="A4" s="7" t="s">
        <v>65</v>
      </c>
      <c r="B4" s="7" t="s">
        <v>522</v>
      </c>
      <c r="C4" s="7" t="s">
        <v>523</v>
      </c>
      <c r="D4" s="7" t="s">
        <v>524</v>
      </c>
      <c r="E4" s="7" t="s">
        <v>525</v>
      </c>
      <c r="F4" s="7" t="s">
        <v>526</v>
      </c>
      <c r="G4" s="7" t="s">
        <v>527</v>
      </c>
      <c r="H4" s="7" t="s">
        <v>528</v>
      </c>
      <c r="I4" s="7" t="s">
        <v>79</v>
      </c>
      <c r="J4" s="7" t="s">
        <v>82</v>
      </c>
      <c r="K4" s="7" t="s">
        <v>87</v>
      </c>
      <c r="L4" s="7" t="s">
        <v>529</v>
      </c>
      <c r="M4" s="7" t="s">
        <v>530</v>
      </c>
      <c r="N4" s="7" t="s">
        <v>531</v>
      </c>
      <c r="O4" s="7" t="s">
        <v>532</v>
      </c>
      <c r="P4" s="7" t="s">
        <v>533</v>
      </c>
      <c r="Q4" s="7" t="s">
        <v>534</v>
      </c>
      <c r="R4" s="7" t="s">
        <v>453</v>
      </c>
    </row>
    <row r="5" customFormat="false" ht="23.85" hidden="false" customHeight="false" outlineLevel="0" collapsed="false">
      <c r="A5" s="13" t="s">
        <v>535</v>
      </c>
      <c r="B5" s="13" t="s">
        <v>536</v>
      </c>
      <c r="C5" s="13" t="s">
        <v>537</v>
      </c>
      <c r="D5" s="13" t="s">
        <v>538</v>
      </c>
      <c r="E5" s="13" t="s">
        <v>539</v>
      </c>
      <c r="F5" s="13" t="s">
        <v>498</v>
      </c>
      <c r="G5" s="13" t="n">
        <v>671</v>
      </c>
      <c r="H5" s="13" t="n">
        <v>37</v>
      </c>
      <c r="I5" s="13" t="s">
        <v>540</v>
      </c>
      <c r="J5" s="13" t="n">
        <v>128000</v>
      </c>
      <c r="K5" s="13" t="s">
        <v>537</v>
      </c>
      <c r="L5" s="13" t="s">
        <v>541</v>
      </c>
      <c r="M5" s="13"/>
      <c r="N5" s="13" t="s">
        <v>542</v>
      </c>
      <c r="O5" s="13" t="s">
        <v>66</v>
      </c>
      <c r="P5" s="13" t="s">
        <v>543</v>
      </c>
      <c r="Q5" s="13" t="s">
        <v>544</v>
      </c>
      <c r="R5" s="14" t="s">
        <v>545</v>
      </c>
    </row>
    <row r="6" customFormat="false" ht="15" hidden="false" customHeight="false" outlineLevel="0" collapsed="false">
      <c r="A6" s="13" t="s">
        <v>546</v>
      </c>
      <c r="B6" s="13" t="s">
        <v>547</v>
      </c>
      <c r="C6" s="13" t="s">
        <v>537</v>
      </c>
      <c r="D6" s="13" t="s">
        <v>538</v>
      </c>
      <c r="E6" s="13" t="s">
        <v>539</v>
      </c>
      <c r="F6" s="13" t="s">
        <v>498</v>
      </c>
      <c r="G6" s="13" t="n">
        <v>671</v>
      </c>
      <c r="H6" s="13" t="n">
        <v>37</v>
      </c>
      <c r="I6" s="13" t="s">
        <v>540</v>
      </c>
      <c r="J6" s="13" t="n">
        <v>128000</v>
      </c>
      <c r="K6" s="13" t="s">
        <v>548</v>
      </c>
      <c r="L6" s="13" t="s">
        <v>549</v>
      </c>
      <c r="M6" s="13"/>
      <c r="N6" s="13" t="s">
        <v>550</v>
      </c>
      <c r="O6" s="13" t="s">
        <v>66</v>
      </c>
      <c r="P6" s="13" t="s">
        <v>543</v>
      </c>
      <c r="Q6" s="13" t="s">
        <v>544</v>
      </c>
      <c r="R6" s="14" t="s">
        <v>551</v>
      </c>
    </row>
    <row r="7" customFormat="false" ht="15" hidden="false" customHeight="false" outlineLevel="0" collapsed="false">
      <c r="A7" s="13" t="s">
        <v>552</v>
      </c>
      <c r="B7" s="13" t="s">
        <v>553</v>
      </c>
      <c r="C7" s="13" t="s">
        <v>554</v>
      </c>
      <c r="D7" s="13" t="s">
        <v>538</v>
      </c>
      <c r="E7" s="13" t="s">
        <v>539</v>
      </c>
      <c r="F7" s="13" t="s">
        <v>498</v>
      </c>
      <c r="G7" s="13" t="n">
        <v>235</v>
      </c>
      <c r="H7" s="13" t="n">
        <v>22</v>
      </c>
      <c r="I7" s="13" t="s">
        <v>540</v>
      </c>
      <c r="J7" s="13" t="n">
        <v>128000</v>
      </c>
      <c r="K7" s="13" t="s">
        <v>555</v>
      </c>
      <c r="L7" s="13" t="s">
        <v>556</v>
      </c>
      <c r="M7" s="13"/>
      <c r="N7" s="13" t="s">
        <v>557</v>
      </c>
      <c r="O7" s="13" t="s">
        <v>66</v>
      </c>
      <c r="P7" s="13" t="s">
        <v>477</v>
      </c>
      <c r="Q7" s="13" t="s">
        <v>544</v>
      </c>
      <c r="R7" s="14" t="s">
        <v>558</v>
      </c>
    </row>
    <row r="8" customFormat="false" ht="15" hidden="false" customHeight="false" outlineLevel="0" collapsed="false">
      <c r="A8" s="13" t="s">
        <v>559</v>
      </c>
      <c r="B8" s="13" t="s">
        <v>560</v>
      </c>
      <c r="C8" s="13" t="s">
        <v>554</v>
      </c>
      <c r="D8" s="13" t="s">
        <v>538</v>
      </c>
      <c r="E8" s="13" t="s">
        <v>539</v>
      </c>
      <c r="F8" s="13" t="s">
        <v>498</v>
      </c>
      <c r="G8" s="13" t="n">
        <v>32</v>
      </c>
      <c r="H8" s="13" t="n">
        <v>32</v>
      </c>
      <c r="I8" s="13" t="s">
        <v>561</v>
      </c>
      <c r="J8" s="13" t="n">
        <v>128000</v>
      </c>
      <c r="K8" s="13" t="s">
        <v>555</v>
      </c>
      <c r="L8" s="13" t="s">
        <v>562</v>
      </c>
      <c r="M8" s="13"/>
      <c r="N8" s="13" t="s">
        <v>563</v>
      </c>
      <c r="O8" s="13" t="s">
        <v>66</v>
      </c>
      <c r="P8" s="13" t="s">
        <v>477</v>
      </c>
      <c r="Q8" s="13" t="s">
        <v>544</v>
      </c>
      <c r="R8" s="14" t="s">
        <v>564</v>
      </c>
    </row>
    <row r="9" customFormat="false" ht="15" hidden="false" customHeight="false" outlineLevel="0" collapsed="false">
      <c r="A9" s="13" t="s">
        <v>565</v>
      </c>
      <c r="B9" s="13" t="s">
        <v>566</v>
      </c>
      <c r="C9" s="13" t="s">
        <v>567</v>
      </c>
      <c r="D9" s="13" t="s">
        <v>568</v>
      </c>
      <c r="E9" s="13" t="s">
        <v>569</v>
      </c>
      <c r="F9" s="13" t="s">
        <v>498</v>
      </c>
      <c r="G9" s="13" t="n">
        <v>70</v>
      </c>
      <c r="H9" s="13" t="n">
        <v>70</v>
      </c>
      <c r="I9" s="13" t="s">
        <v>561</v>
      </c>
      <c r="J9" s="13" t="n">
        <v>128000</v>
      </c>
      <c r="K9" s="13" t="s">
        <v>570</v>
      </c>
      <c r="L9" s="13" t="s">
        <v>571</v>
      </c>
      <c r="M9" s="13"/>
      <c r="N9" s="13" t="s">
        <v>572</v>
      </c>
      <c r="O9" s="13" t="s">
        <v>66</v>
      </c>
      <c r="P9" s="13" t="s">
        <v>477</v>
      </c>
      <c r="Q9" s="13" t="s">
        <v>544</v>
      </c>
      <c r="R9" s="14" t="s">
        <v>573</v>
      </c>
    </row>
    <row r="10" customFormat="false" ht="15" hidden="false" customHeight="false" outlineLevel="0" collapsed="false">
      <c r="A10" s="13" t="s">
        <v>574</v>
      </c>
      <c r="B10" s="13" t="s">
        <v>575</v>
      </c>
      <c r="C10" s="13" t="s">
        <v>567</v>
      </c>
      <c r="D10" s="13" t="s">
        <v>568</v>
      </c>
      <c r="E10" s="13" t="s">
        <v>569</v>
      </c>
      <c r="F10" s="13" t="s">
        <v>498</v>
      </c>
      <c r="G10" s="13" t="n">
        <v>109</v>
      </c>
      <c r="H10" s="13" t="n">
        <v>17</v>
      </c>
      <c r="I10" s="13" t="s">
        <v>540</v>
      </c>
      <c r="J10" s="13" t="n">
        <v>10000000</v>
      </c>
      <c r="K10" s="13" t="s">
        <v>576</v>
      </c>
      <c r="L10" s="13" t="s">
        <v>577</v>
      </c>
      <c r="M10" s="13"/>
      <c r="N10" s="13" t="s">
        <v>578</v>
      </c>
      <c r="O10" s="13" t="s">
        <v>579</v>
      </c>
      <c r="P10" s="13" t="s">
        <v>543</v>
      </c>
      <c r="Q10" s="13" t="s">
        <v>580</v>
      </c>
      <c r="R10" s="14" t="s">
        <v>581</v>
      </c>
    </row>
    <row r="11" customFormat="false" ht="15" hidden="false" customHeight="false" outlineLevel="0" collapsed="false">
      <c r="A11" s="13" t="s">
        <v>582</v>
      </c>
      <c r="B11" s="13" t="s">
        <v>582</v>
      </c>
      <c r="C11" s="13" t="s">
        <v>583</v>
      </c>
      <c r="D11" s="13" t="s">
        <v>568</v>
      </c>
      <c r="E11" s="13" t="s">
        <v>569</v>
      </c>
      <c r="F11" s="13" t="s">
        <v>498</v>
      </c>
      <c r="G11" s="13" t="n">
        <v>117</v>
      </c>
      <c r="H11" s="13" t="n">
        <v>5.1</v>
      </c>
      <c r="I11" s="13" t="s">
        <v>540</v>
      </c>
      <c r="J11" s="13" t="n">
        <v>128000</v>
      </c>
      <c r="K11" s="13" t="s">
        <v>555</v>
      </c>
      <c r="L11" s="13" t="s">
        <v>584</v>
      </c>
      <c r="M11" s="13"/>
      <c r="N11" s="13" t="s">
        <v>585</v>
      </c>
      <c r="O11" s="13" t="s">
        <v>66</v>
      </c>
      <c r="P11" s="13" t="s">
        <v>586</v>
      </c>
      <c r="Q11" s="13" t="s">
        <v>544</v>
      </c>
      <c r="R11" s="14" t="s">
        <v>587</v>
      </c>
    </row>
    <row r="12" customFormat="false" ht="15" hidden="false" customHeight="false" outlineLevel="0" collapsed="false">
      <c r="A12" s="13" t="s">
        <v>588</v>
      </c>
      <c r="B12" s="13" t="s">
        <v>589</v>
      </c>
      <c r="C12" s="13" t="s">
        <v>590</v>
      </c>
      <c r="D12" s="13" t="s">
        <v>568</v>
      </c>
      <c r="E12" s="13" t="s">
        <v>569</v>
      </c>
      <c r="F12" s="13" t="s">
        <v>498</v>
      </c>
      <c r="G12" s="13" t="n">
        <v>27</v>
      </c>
      <c r="H12" s="13" t="n">
        <v>27</v>
      </c>
      <c r="I12" s="13" t="s">
        <v>561</v>
      </c>
      <c r="J12" s="13" t="n">
        <v>128000</v>
      </c>
      <c r="K12" s="13" t="s">
        <v>591</v>
      </c>
      <c r="L12" s="13" t="s">
        <v>592</v>
      </c>
      <c r="M12" s="13"/>
      <c r="N12" s="13" t="s">
        <v>593</v>
      </c>
      <c r="O12" s="13" t="s">
        <v>579</v>
      </c>
      <c r="P12" s="13" t="s">
        <v>477</v>
      </c>
      <c r="Q12" s="13" t="s">
        <v>580</v>
      </c>
      <c r="R12" s="14"/>
    </row>
    <row r="13" customFormat="false" ht="15" hidden="false" customHeight="false" outlineLevel="0" collapsed="false">
      <c r="A13" s="13" t="s">
        <v>594</v>
      </c>
      <c r="B13" s="13" t="s">
        <v>595</v>
      </c>
      <c r="C13" s="13" t="s">
        <v>596</v>
      </c>
      <c r="D13" s="13" t="s">
        <v>568</v>
      </c>
      <c r="E13" s="13" t="s">
        <v>569</v>
      </c>
      <c r="F13" s="13" t="s">
        <v>498</v>
      </c>
      <c r="G13" s="13" t="n">
        <v>14</v>
      </c>
      <c r="H13" s="13" t="n">
        <v>14</v>
      </c>
      <c r="I13" s="13" t="s">
        <v>561</v>
      </c>
      <c r="J13" s="13" t="n">
        <v>16000</v>
      </c>
      <c r="K13" s="13" t="s">
        <v>548</v>
      </c>
      <c r="L13" s="13" t="s">
        <v>597</v>
      </c>
      <c r="M13" s="13"/>
      <c r="N13" s="13" t="s">
        <v>598</v>
      </c>
      <c r="O13" s="13" t="s">
        <v>66</v>
      </c>
      <c r="P13" s="13" t="s">
        <v>543</v>
      </c>
      <c r="Q13" s="13" t="s">
        <v>580</v>
      </c>
      <c r="R13" s="14" t="s">
        <v>599</v>
      </c>
    </row>
    <row r="14" customFormat="false" ht="15" hidden="false" customHeight="false" outlineLevel="0" collapsed="false">
      <c r="A14" s="13" t="s">
        <v>600</v>
      </c>
      <c r="B14" s="13" t="s">
        <v>601</v>
      </c>
      <c r="C14" s="13" t="s">
        <v>602</v>
      </c>
      <c r="D14" s="13" t="s">
        <v>568</v>
      </c>
      <c r="E14" s="13" t="s">
        <v>569</v>
      </c>
      <c r="F14" s="13" t="s">
        <v>498</v>
      </c>
      <c r="G14" s="13" t="n">
        <v>49</v>
      </c>
      <c r="H14" s="13" t="n">
        <v>49</v>
      </c>
      <c r="I14" s="13" t="s">
        <v>561</v>
      </c>
      <c r="J14" s="13" t="n">
        <v>128000</v>
      </c>
      <c r="K14" s="13" t="s">
        <v>603</v>
      </c>
      <c r="L14" s="13" t="s">
        <v>604</v>
      </c>
      <c r="M14" s="13"/>
      <c r="N14" s="13"/>
      <c r="O14" s="13" t="s">
        <v>66</v>
      </c>
      <c r="P14" s="13" t="s">
        <v>543</v>
      </c>
      <c r="Q14" s="13" t="s">
        <v>580</v>
      </c>
      <c r="R14" s="14" t="s">
        <v>605</v>
      </c>
    </row>
    <row r="15" customFormat="false" ht="15" hidden="false" customHeight="false" outlineLevel="0" collapsed="false">
      <c r="A15" s="13" t="s">
        <v>606</v>
      </c>
      <c r="B15" s="13" t="s">
        <v>607</v>
      </c>
      <c r="C15" s="13" t="s">
        <v>608</v>
      </c>
      <c r="D15" s="13" t="s">
        <v>568</v>
      </c>
      <c r="E15" s="13" t="s">
        <v>569</v>
      </c>
      <c r="F15" s="13" t="s">
        <v>498</v>
      </c>
      <c r="G15" s="13" t="n">
        <v>32</v>
      </c>
      <c r="H15" s="13" t="n">
        <v>32</v>
      </c>
      <c r="I15" s="13" t="s">
        <v>561</v>
      </c>
      <c r="J15" s="13" t="n">
        <v>4096</v>
      </c>
      <c r="K15" s="13" t="s">
        <v>555</v>
      </c>
      <c r="L15" s="13" t="s">
        <v>609</v>
      </c>
      <c r="M15" s="13"/>
      <c r="N15" s="13"/>
      <c r="O15" s="13" t="s">
        <v>66</v>
      </c>
      <c r="P15" s="13" t="s">
        <v>610</v>
      </c>
      <c r="Q15" s="13" t="s">
        <v>611</v>
      </c>
      <c r="R15" s="14" t="s">
        <v>612</v>
      </c>
    </row>
    <row r="16" customFormat="false" ht="15" hidden="false" customHeight="false" outlineLevel="0" collapsed="false">
      <c r="A16" s="13" t="s">
        <v>613</v>
      </c>
      <c r="B16" s="13" t="s">
        <v>614</v>
      </c>
      <c r="C16" s="13" t="s">
        <v>615</v>
      </c>
      <c r="D16" s="13" t="s">
        <v>616</v>
      </c>
      <c r="E16" s="13" t="s">
        <v>539</v>
      </c>
      <c r="F16" s="13" t="s">
        <v>498</v>
      </c>
      <c r="G16" s="13" t="n">
        <v>24</v>
      </c>
      <c r="H16" s="13" t="n">
        <v>24</v>
      </c>
      <c r="I16" s="13" t="s">
        <v>561</v>
      </c>
      <c r="J16" s="13" t="n">
        <v>128000</v>
      </c>
      <c r="K16" s="13" t="s">
        <v>555</v>
      </c>
      <c r="L16" s="13" t="s">
        <v>617</v>
      </c>
      <c r="M16" s="13"/>
      <c r="N16" s="13" t="s">
        <v>618</v>
      </c>
      <c r="O16" s="13" t="s">
        <v>66</v>
      </c>
      <c r="P16" s="13" t="s">
        <v>477</v>
      </c>
      <c r="Q16" s="13" t="s">
        <v>544</v>
      </c>
      <c r="R16" s="14"/>
    </row>
    <row r="17" customFormat="false" ht="15" hidden="false" customHeight="false" outlineLevel="0" collapsed="false">
      <c r="A17" s="13" t="s">
        <v>619</v>
      </c>
      <c r="B17" s="13" t="s">
        <v>620</v>
      </c>
      <c r="C17" s="13" t="s">
        <v>615</v>
      </c>
      <c r="D17" s="13" t="s">
        <v>616</v>
      </c>
      <c r="E17" s="13" t="s">
        <v>539</v>
      </c>
      <c r="F17" s="13" t="s">
        <v>498</v>
      </c>
      <c r="G17" s="13" t="n">
        <v>141</v>
      </c>
      <c r="H17" s="13" t="n">
        <v>39</v>
      </c>
      <c r="I17" s="13" t="s">
        <v>540</v>
      </c>
      <c r="J17" s="13" t="n">
        <v>65536</v>
      </c>
      <c r="K17" s="13" t="s">
        <v>555</v>
      </c>
      <c r="L17" s="13" t="s">
        <v>621</v>
      </c>
      <c r="M17" s="13"/>
      <c r="N17" s="13" t="s">
        <v>622</v>
      </c>
      <c r="O17" s="13" t="s">
        <v>66</v>
      </c>
      <c r="P17" s="13" t="s">
        <v>543</v>
      </c>
      <c r="Q17" s="13" t="s">
        <v>611</v>
      </c>
      <c r="R17" s="14" t="s">
        <v>623</v>
      </c>
    </row>
    <row r="18" customFormat="false" ht="15" hidden="false" customHeight="false" outlineLevel="0" collapsed="false">
      <c r="A18" s="13" t="s">
        <v>624</v>
      </c>
      <c r="B18" s="13" t="s">
        <v>625</v>
      </c>
      <c r="C18" s="13" t="s">
        <v>626</v>
      </c>
      <c r="D18" s="13" t="s">
        <v>538</v>
      </c>
      <c r="E18" s="13" t="s">
        <v>539</v>
      </c>
      <c r="F18" s="13" t="s">
        <v>498</v>
      </c>
      <c r="G18" s="13" t="n">
        <v>355</v>
      </c>
      <c r="H18" s="13" t="n">
        <v>32</v>
      </c>
      <c r="I18" s="13" t="s">
        <v>540</v>
      </c>
      <c r="J18" s="13" t="n">
        <v>128000</v>
      </c>
      <c r="K18" s="13" t="s">
        <v>548</v>
      </c>
      <c r="L18" s="13" t="s">
        <v>627</v>
      </c>
      <c r="M18" s="13"/>
      <c r="N18" s="13"/>
      <c r="O18" s="13" t="s">
        <v>66</v>
      </c>
      <c r="P18" s="13" t="s">
        <v>543</v>
      </c>
      <c r="Q18" s="13" t="s">
        <v>580</v>
      </c>
      <c r="R18" s="14" t="s">
        <v>628</v>
      </c>
    </row>
    <row r="19" customFormat="false" ht="15" hidden="false" customHeight="false" outlineLevel="0" collapsed="false">
      <c r="A19" s="13" t="s">
        <v>629</v>
      </c>
      <c r="B19" s="13" t="s">
        <v>630</v>
      </c>
      <c r="C19" s="13" t="s">
        <v>631</v>
      </c>
      <c r="D19" s="13" t="s">
        <v>538</v>
      </c>
      <c r="E19" s="13" t="s">
        <v>539</v>
      </c>
      <c r="F19" s="13" t="s">
        <v>498</v>
      </c>
      <c r="G19" s="13" t="n">
        <v>1000</v>
      </c>
      <c r="H19" s="13" t="n">
        <v>32</v>
      </c>
      <c r="I19" s="13" t="s">
        <v>540</v>
      </c>
      <c r="J19" s="13" t="n">
        <v>128000</v>
      </c>
      <c r="K19" s="13" t="s">
        <v>632</v>
      </c>
      <c r="L19" s="13" t="s">
        <v>633</v>
      </c>
      <c r="M19" s="13"/>
      <c r="N19" s="13"/>
      <c r="O19" s="13" t="s">
        <v>66</v>
      </c>
      <c r="P19" s="13" t="s">
        <v>634</v>
      </c>
      <c r="Q19" s="13" t="s">
        <v>580</v>
      </c>
      <c r="R19" s="14" t="s">
        <v>635</v>
      </c>
    </row>
    <row r="20" customFormat="false" ht="15" hidden="false" customHeight="false" outlineLevel="0" collapsed="false">
      <c r="A20" s="13" t="s">
        <v>636</v>
      </c>
      <c r="B20" s="13" t="s">
        <v>637</v>
      </c>
      <c r="C20" s="13" t="s">
        <v>638</v>
      </c>
      <c r="D20" s="13" t="s">
        <v>538</v>
      </c>
      <c r="E20" s="13" t="s">
        <v>539</v>
      </c>
      <c r="F20" s="13" t="s">
        <v>498</v>
      </c>
      <c r="G20" s="13" t="n">
        <v>456</v>
      </c>
      <c r="H20" s="13" t="n">
        <v>46</v>
      </c>
      <c r="I20" s="13" t="s">
        <v>540</v>
      </c>
      <c r="J20" s="13" t="n">
        <v>1000000</v>
      </c>
      <c r="K20" s="13" t="s">
        <v>555</v>
      </c>
      <c r="L20" s="13" t="s">
        <v>639</v>
      </c>
      <c r="M20" s="13"/>
      <c r="N20" s="13"/>
      <c r="O20" s="13" t="s">
        <v>66</v>
      </c>
      <c r="P20" s="13" t="s">
        <v>610</v>
      </c>
      <c r="Q20" s="13" t="s">
        <v>611</v>
      </c>
      <c r="R20" s="14" t="s">
        <v>640</v>
      </c>
    </row>
    <row r="21" customFormat="false" ht="15" hidden="false" customHeight="false" outlineLevel="0" collapsed="false">
      <c r="A21" s="13" t="s">
        <v>641</v>
      </c>
      <c r="B21" s="13" t="s">
        <v>642</v>
      </c>
      <c r="C21" s="13" t="s">
        <v>643</v>
      </c>
      <c r="D21" s="13" t="s">
        <v>538</v>
      </c>
      <c r="E21" s="13" t="s">
        <v>539</v>
      </c>
      <c r="F21" s="13" t="s">
        <v>498</v>
      </c>
      <c r="G21" s="13" t="n">
        <v>8</v>
      </c>
      <c r="H21" s="13" t="n">
        <v>8</v>
      </c>
      <c r="I21" s="13" t="s">
        <v>561</v>
      </c>
      <c r="J21" s="13" t="n">
        <v>32768</v>
      </c>
      <c r="K21" s="13" t="s">
        <v>555</v>
      </c>
      <c r="L21" s="13" t="s">
        <v>644</v>
      </c>
      <c r="M21" s="13"/>
      <c r="N21" s="13"/>
      <c r="O21" s="13" t="s">
        <v>66</v>
      </c>
      <c r="P21" s="13" t="s">
        <v>610</v>
      </c>
      <c r="Q21" s="13" t="s">
        <v>611</v>
      </c>
      <c r="R21" s="14"/>
    </row>
    <row r="22" customFormat="false" ht="15" hidden="false" customHeight="false" outlineLevel="0" collapsed="false">
      <c r="A22" s="13" t="s">
        <v>645</v>
      </c>
      <c r="B22" s="13" t="s">
        <v>646</v>
      </c>
      <c r="C22" s="13" t="s">
        <v>647</v>
      </c>
      <c r="D22" s="13" t="s">
        <v>648</v>
      </c>
      <c r="E22" s="13" t="s">
        <v>539</v>
      </c>
      <c r="F22" s="13" t="s">
        <v>498</v>
      </c>
      <c r="G22" s="13" t="n">
        <v>32</v>
      </c>
      <c r="H22" s="13" t="n">
        <v>32</v>
      </c>
      <c r="I22" s="13" t="s">
        <v>561</v>
      </c>
      <c r="J22" s="13" t="n">
        <v>128000</v>
      </c>
      <c r="K22" s="13" t="s">
        <v>649</v>
      </c>
      <c r="L22" s="13" t="s">
        <v>650</v>
      </c>
      <c r="M22" s="13"/>
      <c r="N22" s="13" t="s">
        <v>651</v>
      </c>
      <c r="O22" s="13" t="s">
        <v>66</v>
      </c>
      <c r="P22" s="13" t="s">
        <v>610</v>
      </c>
      <c r="Q22" s="13" t="s">
        <v>580</v>
      </c>
      <c r="R22" s="14" t="s">
        <v>652</v>
      </c>
    </row>
    <row r="23" customFormat="false" ht="15" hidden="false" customHeight="false" outlineLevel="0" collapsed="false">
      <c r="A23" s="13" t="s">
        <v>653</v>
      </c>
      <c r="B23" s="13" t="s">
        <v>654</v>
      </c>
      <c r="C23" s="13" t="s">
        <v>655</v>
      </c>
      <c r="D23" s="13" t="s">
        <v>656</v>
      </c>
      <c r="E23" s="13" t="s">
        <v>539</v>
      </c>
      <c r="F23" s="13" t="s">
        <v>498</v>
      </c>
      <c r="G23" s="13" t="n">
        <v>10</v>
      </c>
      <c r="H23" s="13" t="n">
        <v>10</v>
      </c>
      <c r="I23" s="13" t="s">
        <v>561</v>
      </c>
      <c r="J23" s="13" t="n">
        <v>32768</v>
      </c>
      <c r="K23" s="13" t="s">
        <v>657</v>
      </c>
      <c r="L23" s="13" t="s">
        <v>658</v>
      </c>
      <c r="M23" s="13"/>
      <c r="N23" s="13" t="s">
        <v>659</v>
      </c>
      <c r="O23" s="13" t="s">
        <v>66</v>
      </c>
      <c r="P23" s="13" t="s">
        <v>660</v>
      </c>
      <c r="Q23" s="13" t="s">
        <v>611</v>
      </c>
      <c r="R23" s="14"/>
    </row>
    <row r="24" customFormat="false" ht="15" hidden="false" customHeight="false" outlineLevel="0" collapsed="false">
      <c r="A24" s="13" t="s">
        <v>661</v>
      </c>
      <c r="B24" s="13" t="s">
        <v>662</v>
      </c>
      <c r="C24" s="13" t="s">
        <v>663</v>
      </c>
      <c r="D24" s="13" t="s">
        <v>664</v>
      </c>
      <c r="E24" s="13" t="s">
        <v>539</v>
      </c>
      <c r="F24" s="13" t="s">
        <v>498</v>
      </c>
      <c r="G24" s="13" t="n">
        <v>52</v>
      </c>
      <c r="H24" s="13" t="n">
        <v>12</v>
      </c>
      <c r="I24" s="13" t="s">
        <v>665</v>
      </c>
      <c r="J24" s="13" t="n">
        <v>256000</v>
      </c>
      <c r="K24" s="13" t="s">
        <v>666</v>
      </c>
      <c r="L24" s="13" t="s">
        <v>667</v>
      </c>
      <c r="M24" s="13"/>
      <c r="N24" s="13"/>
      <c r="O24" s="13" t="s">
        <v>66</v>
      </c>
      <c r="P24" s="13" t="s">
        <v>610</v>
      </c>
      <c r="Q24" s="13" t="s">
        <v>611</v>
      </c>
      <c r="R24" s="14" t="s">
        <v>668</v>
      </c>
    </row>
    <row r="25" customFormat="false" ht="15" hidden="false" customHeight="false" outlineLevel="0" collapsed="false">
      <c r="A25" s="13" t="s">
        <v>669</v>
      </c>
      <c r="B25" s="13" t="s">
        <v>670</v>
      </c>
      <c r="C25" s="13" t="s">
        <v>671</v>
      </c>
      <c r="D25" s="13" t="s">
        <v>672</v>
      </c>
      <c r="E25" s="13" t="s">
        <v>539</v>
      </c>
      <c r="F25" s="13" t="s">
        <v>498</v>
      </c>
      <c r="G25" s="13" t="n">
        <v>32</v>
      </c>
      <c r="H25" s="13" t="n">
        <v>32</v>
      </c>
      <c r="I25" s="13" t="s">
        <v>561</v>
      </c>
      <c r="J25" s="13" t="n">
        <v>128000</v>
      </c>
      <c r="K25" s="13" t="s">
        <v>673</v>
      </c>
      <c r="L25" s="13" t="s">
        <v>674</v>
      </c>
      <c r="M25" s="13"/>
      <c r="N25" s="13"/>
      <c r="O25" s="13" t="s">
        <v>66</v>
      </c>
      <c r="P25" s="13" t="s">
        <v>610</v>
      </c>
      <c r="Q25" s="13" t="s">
        <v>611</v>
      </c>
      <c r="R25" s="14" t="s">
        <v>675</v>
      </c>
    </row>
    <row r="26" customFormat="false" ht="23.85" hidden="false" customHeight="false" outlineLevel="0" collapsed="false">
      <c r="A26" s="13" t="s">
        <v>676</v>
      </c>
      <c r="B26" s="13" t="s">
        <v>677</v>
      </c>
      <c r="C26" s="13" t="s">
        <v>678</v>
      </c>
      <c r="D26" s="13" t="s">
        <v>679</v>
      </c>
      <c r="E26" s="13" t="s">
        <v>539</v>
      </c>
      <c r="F26" s="13" t="s">
        <v>498</v>
      </c>
      <c r="G26" s="13" t="n">
        <v>24</v>
      </c>
      <c r="H26" s="13" t="n">
        <v>24</v>
      </c>
      <c r="I26" s="13" t="s">
        <v>561</v>
      </c>
      <c r="J26" s="13" t="n">
        <v>32768</v>
      </c>
      <c r="K26" s="13" t="s">
        <v>555</v>
      </c>
      <c r="L26" s="13" t="s">
        <v>680</v>
      </c>
      <c r="M26" s="13"/>
      <c r="N26" s="13"/>
      <c r="O26" s="13" t="s">
        <v>66</v>
      </c>
      <c r="P26" s="13" t="s">
        <v>610</v>
      </c>
      <c r="Q26" s="13" t="s">
        <v>580</v>
      </c>
      <c r="R26" s="14" t="s">
        <v>681</v>
      </c>
    </row>
    <row r="27" customFormat="false" ht="15" hidden="false" customHeight="false" outlineLevel="0" collapsed="false">
      <c r="A27" s="13" t="s">
        <v>682</v>
      </c>
      <c r="B27" s="13" t="s">
        <v>683</v>
      </c>
      <c r="C27" s="13" t="s">
        <v>684</v>
      </c>
      <c r="D27" s="13" t="s">
        <v>685</v>
      </c>
      <c r="E27" s="13" t="s">
        <v>539</v>
      </c>
      <c r="F27" s="13" t="s">
        <v>498</v>
      </c>
      <c r="G27" s="13" t="n">
        <v>9</v>
      </c>
      <c r="H27" s="13" t="n">
        <v>9</v>
      </c>
      <c r="I27" s="13" t="s">
        <v>561</v>
      </c>
      <c r="J27" s="13" t="n">
        <v>8192</v>
      </c>
      <c r="K27" s="13" t="s">
        <v>591</v>
      </c>
      <c r="L27" s="13" t="s">
        <v>686</v>
      </c>
      <c r="M27" s="13"/>
      <c r="N27" s="13"/>
      <c r="O27" s="13" t="s">
        <v>66</v>
      </c>
      <c r="P27" s="13" t="s">
        <v>610</v>
      </c>
      <c r="Q27" s="13" t="s">
        <v>611</v>
      </c>
      <c r="R27" s="14" t="s">
        <v>687</v>
      </c>
    </row>
    <row r="29" customFormat="false" ht="15" hidden="false" customHeight="false" outlineLevel="0" collapsed="false">
      <c r="A29" s="15" t="s">
        <v>688</v>
      </c>
    </row>
  </sheetData>
  <autoFilter ref="A4:R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13"/>
    <col collapsed="false" customWidth="true" hidden="false" outlineLevel="0" max="11" min="11" style="0" width="60"/>
  </cols>
  <sheetData>
    <row r="1" customFormat="false" ht="17.35" hidden="false" customHeight="false" outlineLevel="0" collapsed="false">
      <c r="A1" s="6" t="s">
        <v>689</v>
      </c>
    </row>
    <row r="2" customFormat="false" ht="15" hidden="false" customHeight="false" outlineLevel="0" collapsed="false">
      <c r="A2" s="5" t="s">
        <v>690</v>
      </c>
    </row>
    <row r="4" customFormat="false" ht="33.75" hidden="false" customHeight="true" outlineLevel="0" collapsed="false">
      <c r="A4" s="7" t="s">
        <v>691</v>
      </c>
      <c r="B4" s="7" t="s">
        <v>65</v>
      </c>
      <c r="C4" s="7" t="s">
        <v>531</v>
      </c>
      <c r="D4" s="7" t="s">
        <v>692</v>
      </c>
      <c r="E4" s="7" t="s">
        <v>693</v>
      </c>
      <c r="F4" s="7" t="s">
        <v>694</v>
      </c>
      <c r="G4" s="7" t="s">
        <v>695</v>
      </c>
      <c r="H4" s="7" t="s">
        <v>696</v>
      </c>
      <c r="I4" s="7" t="s">
        <v>697</v>
      </c>
      <c r="J4" s="7" t="s">
        <v>698</v>
      </c>
      <c r="K4" s="7" t="s">
        <v>699</v>
      </c>
    </row>
  </sheetData>
  <autoFilter ref="A4:K4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6" t="s">
        <v>700</v>
      </c>
    </row>
    <row r="2" customFormat="false" ht="15" hidden="false" customHeight="false" outlineLevel="0" collapsed="false">
      <c r="A2" s="5" t="s">
        <v>701</v>
      </c>
    </row>
    <row r="4" customFormat="false" ht="33.75" hidden="false" customHeight="true" outlineLevel="0" collapsed="false">
      <c r="A4" s="7" t="s">
        <v>702</v>
      </c>
      <c r="B4" s="7" t="s">
        <v>369</v>
      </c>
      <c r="C4" s="7" t="s">
        <v>58</v>
      </c>
      <c r="D4" s="7" t="s">
        <v>703</v>
      </c>
    </row>
    <row r="5" customFormat="false" ht="15" hidden="false" customHeight="false" outlineLevel="0" collapsed="false">
      <c r="A5" s="2" t="s">
        <v>237</v>
      </c>
      <c r="B5" s="16" t="n">
        <v>350000</v>
      </c>
      <c r="C5" s="2" t="s">
        <v>233</v>
      </c>
      <c r="D5" s="3" t="s">
        <v>704</v>
      </c>
    </row>
    <row r="6" customFormat="false" ht="15" hidden="false" customHeight="false" outlineLevel="0" collapsed="false">
      <c r="A6" s="2" t="s">
        <v>241</v>
      </c>
      <c r="B6" s="17" t="n">
        <v>4</v>
      </c>
      <c r="C6" s="2" t="s">
        <v>242</v>
      </c>
      <c r="D6" s="3" t="s">
        <v>705</v>
      </c>
    </row>
    <row r="7" customFormat="false" ht="15" hidden="false" customHeight="false" outlineLevel="0" collapsed="false">
      <c r="A7" s="2" t="s">
        <v>706</v>
      </c>
      <c r="B7" s="17" t="n">
        <v>8</v>
      </c>
      <c r="C7" s="2" t="s">
        <v>106</v>
      </c>
      <c r="D7" s="3" t="s">
        <v>707</v>
      </c>
    </row>
    <row r="8" customFormat="false" ht="15" hidden="false" customHeight="false" outlineLevel="0" collapsed="false">
      <c r="A8" s="2" t="s">
        <v>246</v>
      </c>
      <c r="B8" s="18" t="n">
        <v>0.7</v>
      </c>
      <c r="C8" s="2" t="s">
        <v>193</v>
      </c>
      <c r="D8" s="3" t="s">
        <v>708</v>
      </c>
    </row>
    <row r="9" customFormat="false" ht="15" hidden="false" customHeight="false" outlineLevel="0" collapsed="false">
      <c r="A9" s="2" t="s">
        <v>250</v>
      </c>
      <c r="B9" s="17" t="n">
        <v>10.2</v>
      </c>
      <c r="C9" s="2" t="s">
        <v>251</v>
      </c>
      <c r="D9" s="3" t="s">
        <v>709</v>
      </c>
    </row>
    <row r="10" customFormat="false" ht="15" hidden="false" customHeight="false" outlineLevel="0" collapsed="false">
      <c r="A10" s="2" t="s">
        <v>255</v>
      </c>
      <c r="B10" s="17" t="n">
        <v>1.4</v>
      </c>
      <c r="C10" s="2" t="s">
        <v>256</v>
      </c>
      <c r="D10" s="3" t="s">
        <v>710</v>
      </c>
    </row>
    <row r="11" customFormat="false" ht="15" hidden="false" customHeight="false" outlineLevel="0" collapsed="false">
      <c r="A11" s="2" t="s">
        <v>260</v>
      </c>
      <c r="B11" s="17" t="n">
        <v>0.09</v>
      </c>
      <c r="C11" s="2" t="s">
        <v>261</v>
      </c>
      <c r="D11" s="3" t="s">
        <v>262</v>
      </c>
    </row>
    <row r="12" customFormat="false" ht="15" hidden="false" customHeight="false" outlineLevel="0" collapsed="false">
      <c r="A12" s="2" t="s">
        <v>711</v>
      </c>
      <c r="B12" s="18" t="n">
        <v>0.15</v>
      </c>
      <c r="C12" s="2" t="s">
        <v>193</v>
      </c>
      <c r="D12" s="3" t="s">
        <v>712</v>
      </c>
    </row>
    <row r="14" customFormat="false" ht="15" hidden="false" customHeight="false" outlineLevel="0" collapsed="false">
      <c r="A14" s="10" t="s">
        <v>713</v>
      </c>
      <c r="B14" s="11"/>
      <c r="C14" s="11"/>
      <c r="D14" s="11"/>
    </row>
    <row r="15" customFormat="false" ht="15" hidden="false" customHeight="false" outlineLevel="0" collapsed="false">
      <c r="A15" s="2" t="s">
        <v>714</v>
      </c>
      <c r="B15" s="19" t="n">
        <f aca="false">B5/B6</f>
        <v>87500</v>
      </c>
      <c r="C15" s="2" t="s">
        <v>715</v>
      </c>
      <c r="D15" s="3" t="s">
        <v>716</v>
      </c>
    </row>
    <row r="16" customFormat="false" ht="15" hidden="false" customHeight="false" outlineLevel="0" collapsed="false">
      <c r="A16" s="2" t="s">
        <v>717</v>
      </c>
      <c r="B16" s="19" t="n">
        <f aca="false">B5*B12</f>
        <v>52500</v>
      </c>
      <c r="C16" s="2" t="s">
        <v>715</v>
      </c>
      <c r="D16" s="3" t="s">
        <v>718</v>
      </c>
    </row>
    <row r="17" customFormat="false" ht="15" hidden="false" customHeight="false" outlineLevel="0" collapsed="false">
      <c r="A17" s="2" t="s">
        <v>719</v>
      </c>
      <c r="B17" s="20" t="n">
        <f aca="false">B9*B10*8760*B8</f>
        <v>87564.96</v>
      </c>
      <c r="C17" s="2" t="s">
        <v>720</v>
      </c>
      <c r="D17" s="3" t="s">
        <v>721</v>
      </c>
    </row>
    <row r="18" customFormat="false" ht="15" hidden="false" customHeight="false" outlineLevel="0" collapsed="false">
      <c r="A18" s="2" t="s">
        <v>722</v>
      </c>
      <c r="B18" s="19" t="n">
        <f aca="false">B17*B11</f>
        <v>7880.8464</v>
      </c>
      <c r="C18" s="2" t="s">
        <v>715</v>
      </c>
      <c r="D18" s="3" t="s">
        <v>723</v>
      </c>
    </row>
    <row r="19" customFormat="false" ht="15" hidden="false" customHeight="false" outlineLevel="0" collapsed="false">
      <c r="A19" s="2" t="s">
        <v>724</v>
      </c>
      <c r="B19" s="19" t="n">
        <f aca="false">B15+B16+B18</f>
        <v>147880.8464</v>
      </c>
      <c r="C19" s="2" t="s">
        <v>715</v>
      </c>
      <c r="D19" s="3" t="s">
        <v>725</v>
      </c>
    </row>
    <row r="20" customFormat="false" ht="15" hidden="false" customHeight="false" outlineLevel="0" collapsed="false">
      <c r="A20" s="2" t="s">
        <v>726</v>
      </c>
      <c r="B20" s="20" t="n">
        <f aca="false">B7*8760*B8</f>
        <v>49056</v>
      </c>
      <c r="C20" s="2" t="s">
        <v>727</v>
      </c>
      <c r="D20" s="3" t="s">
        <v>728</v>
      </c>
    </row>
    <row r="21" customFormat="false" ht="15" hidden="false" customHeight="false" outlineLevel="0" collapsed="false">
      <c r="A21" s="2" t="s">
        <v>265</v>
      </c>
      <c r="B21" s="21" t="n">
        <f aca="false">IFERROR(B19/B20,"")</f>
        <v>3.01453127853881</v>
      </c>
      <c r="C21" s="2" t="s">
        <v>233</v>
      </c>
      <c r="D21" s="3" t="s">
        <v>729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51" min="4" style="0" width="15"/>
    <col collapsed="false" customWidth="true" hidden="false" outlineLevel="0" max="52" min="52" style="0" width="60"/>
  </cols>
  <sheetData>
    <row r="1" customFormat="false" ht="33.75" hidden="false" customHeight="true" outlineLevel="0" collapsed="false">
      <c r="A1" s="7" t="s">
        <v>730</v>
      </c>
      <c r="B1" s="7" t="s">
        <v>691</v>
      </c>
      <c r="C1" s="7" t="s">
        <v>65</v>
      </c>
      <c r="D1" s="7" t="s">
        <v>92</v>
      </c>
      <c r="E1" s="7" t="s">
        <v>97</v>
      </c>
      <c r="F1" s="7" t="s">
        <v>101</v>
      </c>
      <c r="G1" s="7" t="s">
        <v>731</v>
      </c>
      <c r="H1" s="7" t="s">
        <v>105</v>
      </c>
      <c r="I1" s="7" t="s">
        <v>109</v>
      </c>
      <c r="J1" s="7" t="s">
        <v>732</v>
      </c>
      <c r="K1" s="7" t="s">
        <v>378</v>
      </c>
      <c r="L1" s="7" t="s">
        <v>113</v>
      </c>
      <c r="M1" s="7" t="s">
        <v>116</v>
      </c>
      <c r="N1" s="7" t="s">
        <v>120</v>
      </c>
      <c r="O1" s="7" t="s">
        <v>129</v>
      </c>
      <c r="P1" s="7" t="s">
        <v>133</v>
      </c>
      <c r="Q1" s="7" t="s">
        <v>137</v>
      </c>
      <c r="R1" s="7" t="s">
        <v>141</v>
      </c>
      <c r="S1" s="7" t="s">
        <v>145</v>
      </c>
      <c r="T1" s="7" t="s">
        <v>148</v>
      </c>
      <c r="U1" s="7" t="s">
        <v>733</v>
      </c>
      <c r="V1" s="7" t="s">
        <v>734</v>
      </c>
      <c r="W1" s="7" t="s">
        <v>735</v>
      </c>
      <c r="X1" s="7" t="s">
        <v>736</v>
      </c>
      <c r="Y1" s="7" t="s">
        <v>737</v>
      </c>
      <c r="Z1" s="7" t="s">
        <v>738</v>
      </c>
      <c r="AA1" s="7" t="s">
        <v>739</v>
      </c>
      <c r="AB1" s="7" t="s">
        <v>740</v>
      </c>
      <c r="AC1" s="7" t="s">
        <v>741</v>
      </c>
      <c r="AD1" s="7" t="s">
        <v>162</v>
      </c>
      <c r="AE1" s="7" t="s">
        <v>742</v>
      </c>
      <c r="AF1" s="7" t="s">
        <v>743</v>
      </c>
      <c r="AG1" s="7" t="s">
        <v>744</v>
      </c>
      <c r="AH1" s="7" t="s">
        <v>169</v>
      </c>
      <c r="AI1" s="7" t="s">
        <v>173</v>
      </c>
      <c r="AJ1" s="7" t="s">
        <v>176</v>
      </c>
      <c r="AK1" s="7" t="s">
        <v>179</v>
      </c>
      <c r="AL1" s="7" t="s">
        <v>187</v>
      </c>
      <c r="AM1" s="7" t="s">
        <v>192</v>
      </c>
      <c r="AN1" s="7" t="s">
        <v>745</v>
      </c>
      <c r="AO1" s="7" t="s">
        <v>746</v>
      </c>
      <c r="AP1" s="7" t="s">
        <v>123</v>
      </c>
      <c r="AQ1" s="7" t="s">
        <v>213</v>
      </c>
      <c r="AR1" s="7" t="s">
        <v>221</v>
      </c>
      <c r="AS1" s="7" t="s">
        <v>182</v>
      </c>
      <c r="AT1" s="7" t="s">
        <v>202</v>
      </c>
      <c r="AU1" s="7" t="s">
        <v>206</v>
      </c>
      <c r="AV1" s="7" t="s">
        <v>210</v>
      </c>
      <c r="AW1" s="7" t="s">
        <v>232</v>
      </c>
      <c r="AX1" s="7" t="s">
        <v>224</v>
      </c>
      <c r="AY1" s="7" t="s">
        <v>228</v>
      </c>
      <c r="AZ1" s="7" t="s">
        <v>453</v>
      </c>
    </row>
    <row r="2" customFormat="false" ht="15" hidden="false" customHeight="false" outlineLevel="0" collapsed="false">
      <c r="A2" s="22" t="s">
        <v>747</v>
      </c>
      <c r="B2" s="22" t="s">
        <v>748</v>
      </c>
      <c r="C2" s="22" t="s">
        <v>749</v>
      </c>
      <c r="D2" s="22" t="s">
        <v>750</v>
      </c>
      <c r="E2" s="22" t="s">
        <v>751</v>
      </c>
      <c r="F2" s="22" t="s">
        <v>752</v>
      </c>
      <c r="G2" s="22" t="s">
        <v>753</v>
      </c>
      <c r="H2" s="22" t="n">
        <v>2</v>
      </c>
      <c r="I2" s="22" t="n">
        <v>1</v>
      </c>
      <c r="J2" s="22" t="s">
        <v>754</v>
      </c>
      <c r="K2" s="22" t="n">
        <v>2</v>
      </c>
      <c r="L2" s="22" t="n">
        <v>32768</v>
      </c>
      <c r="M2" s="22" t="s">
        <v>755</v>
      </c>
      <c r="N2" s="22" t="s">
        <v>756</v>
      </c>
      <c r="O2" s="22" t="n">
        <v>32</v>
      </c>
      <c r="P2" s="22"/>
      <c r="Q2" s="22" t="n">
        <v>2048</v>
      </c>
      <c r="R2" s="22" t="n">
        <v>256</v>
      </c>
      <c r="S2" s="22" t="n">
        <v>640</v>
      </c>
      <c r="T2" s="22" t="n">
        <v>128.4</v>
      </c>
      <c r="U2" s="22" t="n">
        <v>638</v>
      </c>
      <c r="V2" s="22" t="n">
        <v>2</v>
      </c>
      <c r="W2" s="22" t="n">
        <v>1306624</v>
      </c>
      <c r="X2" s="22" t="n">
        <v>163328</v>
      </c>
      <c r="Y2" s="22" t="n">
        <v>312</v>
      </c>
      <c r="Z2" s="22" t="n">
        <v>480.5</v>
      </c>
      <c r="AA2" s="22" t="n">
        <v>640.2</v>
      </c>
      <c r="AB2" s="22" t="n">
        <v>21.4</v>
      </c>
      <c r="AC2" s="22" t="n">
        <v>38.9</v>
      </c>
      <c r="AD2" s="22" t="n">
        <v>21</v>
      </c>
      <c r="AE2" s="22" t="n">
        <v>5790</v>
      </c>
      <c r="AF2" s="22" t="n">
        <v>7120</v>
      </c>
      <c r="AG2" s="22" t="n">
        <v>8450</v>
      </c>
      <c r="AH2" s="22" t="n">
        <v>46.7</v>
      </c>
      <c r="AI2" s="22" t="n">
        <v>1272</v>
      </c>
      <c r="AJ2" s="22" t="n">
        <v>11447</v>
      </c>
      <c r="AK2" s="22" t="n">
        <v>4.97</v>
      </c>
      <c r="AL2" s="22" t="n">
        <v>71.8</v>
      </c>
      <c r="AM2" s="22" t="n">
        <v>92.4</v>
      </c>
      <c r="AN2" s="22" t="n">
        <v>1240</v>
      </c>
      <c r="AO2" s="22" t="n">
        <v>1390</v>
      </c>
      <c r="AP2" s="22" t="n">
        <v>74.2</v>
      </c>
      <c r="AQ2" s="22" t="n">
        <v>11.3</v>
      </c>
      <c r="AR2" s="23" t="n">
        <f aca="false">IFERROR(V2/(U2+V2)*100,"")</f>
        <v>0.3125</v>
      </c>
      <c r="AS2" s="24" t="n">
        <f aca="false">IFERROR(AI2/K2,"")</f>
        <v>636</v>
      </c>
      <c r="AT2" s="24" t="n">
        <f aca="false">IFERROR(IF(AN2="","",AN2*T2/3600),"")</f>
        <v>44.2266666666667</v>
      </c>
      <c r="AU2" s="25" t="n">
        <f aca="false">IFERROR(X2/(AN2*T2),"")</f>
        <v>1.02582655009547</v>
      </c>
      <c r="AV2" s="25" t="n">
        <f aca="false">IFERROR(AN2*T2/3600/X2*1000,"")</f>
        <v>0.270784352142111</v>
      </c>
      <c r="AW2" s="26" t="n">
        <f aca="false">IFERROR(Cost_Model!$B$21*K2*T2/3600/X2*1000000,"")</f>
        <v>1.31659338592139</v>
      </c>
      <c r="AX2" s="27" t="str">
        <f aca="false">IF(ISNUMBER(Z2),IF(Z2&lt;=Run_Config!$B$31,"PASS","FAIL"),"")</f>
        <v>PASS</v>
      </c>
      <c r="AY2" s="27" t="str">
        <f aca="false">IF(ISNUMBER(AH2),IF(AH2&gt;=Run_Config!$B$33,"PASS","FAIL"),"")</f>
        <v>PASS</v>
      </c>
      <c r="AZ2" s="22" t="s">
        <v>757</v>
      </c>
    </row>
    <row r="3" customFormat="false" ht="15" hidden="false" customHeight="false" outlineLevel="0" collapsed="false">
      <c r="AR3" s="23" t="str">
        <f aca="false">IFERROR(V3/(U3+V3)*100,"")</f>
        <v/>
      </c>
      <c r="AS3" s="24" t="str">
        <f aca="false">IFERROR(AI3/K3,"")</f>
        <v/>
      </c>
      <c r="AT3" s="24" t="str">
        <f aca="false">IFERROR(IF(AN3="","",AN3*T3/3600),"")</f>
        <v/>
      </c>
      <c r="AU3" s="25" t="str">
        <f aca="false">IFERROR(X3/(AN3*T3),"")</f>
        <v/>
      </c>
      <c r="AV3" s="25" t="str">
        <f aca="false">IFERROR(AN3*T3/3600/X3*1000,"")</f>
        <v/>
      </c>
      <c r="AW3" s="26" t="str">
        <f aca="false">IFERROR(Cost_Model!$B$21*K3*T3/3600/X3*1000000,"")</f>
        <v/>
      </c>
      <c r="AX3" s="27" t="str">
        <f aca="false">IF(ISNUMBER(Z3),IF(Z3&lt;=Run_Config!$B$31,"PASS","FAIL"),"")</f>
        <v/>
      </c>
      <c r="AY3" s="27" t="str">
        <f aca="false">IF(ISNUMBER(AH3),IF(AH3&gt;=Run_Config!$B$33,"PASS","FAIL"),"")</f>
        <v/>
      </c>
    </row>
    <row r="4" customFormat="false" ht="15" hidden="false" customHeight="false" outlineLevel="0" collapsed="false">
      <c r="AR4" s="23" t="str">
        <f aca="false">IFERROR(V4/(U4+V4)*100,"")</f>
        <v/>
      </c>
      <c r="AS4" s="24" t="str">
        <f aca="false">IFERROR(AI4/K4,"")</f>
        <v/>
      </c>
      <c r="AT4" s="24" t="str">
        <f aca="false">IFERROR(IF(AN4="","",AN4*T4/3600),"")</f>
        <v/>
      </c>
      <c r="AU4" s="25" t="str">
        <f aca="false">IFERROR(X4/(AN4*T4),"")</f>
        <v/>
      </c>
      <c r="AV4" s="25" t="str">
        <f aca="false">IFERROR(AN4*T4/3600/X4*1000,"")</f>
        <v/>
      </c>
      <c r="AW4" s="26" t="str">
        <f aca="false">IFERROR(Cost_Model!$B$21*K4*T4/3600/X4*1000000,"")</f>
        <v/>
      </c>
      <c r="AX4" s="27" t="str">
        <f aca="false">IF(ISNUMBER(Z4),IF(Z4&lt;=Run_Config!$B$31,"PASS","FAIL"),"")</f>
        <v/>
      </c>
      <c r="AY4" s="27" t="str">
        <f aca="false">IF(ISNUMBER(AH4),IF(AH4&gt;=Run_Config!$B$33,"PASS","FAIL"),"")</f>
        <v/>
      </c>
    </row>
    <row r="5" customFormat="false" ht="15" hidden="false" customHeight="false" outlineLevel="0" collapsed="false">
      <c r="AR5" s="23" t="str">
        <f aca="false">IFERROR(V5/(U5+V5)*100,"")</f>
        <v/>
      </c>
      <c r="AS5" s="24" t="str">
        <f aca="false">IFERROR(AI5/K5,"")</f>
        <v/>
      </c>
      <c r="AT5" s="24" t="str">
        <f aca="false">IFERROR(IF(AN5="","",AN5*T5/3600),"")</f>
        <v/>
      </c>
      <c r="AU5" s="25" t="str">
        <f aca="false">IFERROR(X5/(AN5*T5),"")</f>
        <v/>
      </c>
      <c r="AV5" s="25" t="str">
        <f aca="false">IFERROR(AN5*T5/3600/X5*1000,"")</f>
        <v/>
      </c>
      <c r="AW5" s="26" t="str">
        <f aca="false">IFERROR(Cost_Model!$B$21*K5*T5/3600/X5*1000000,"")</f>
        <v/>
      </c>
      <c r="AX5" s="27" t="str">
        <f aca="false">IF(ISNUMBER(Z5),IF(Z5&lt;=Run_Config!$B$31,"PASS","FAIL"),"")</f>
        <v/>
      </c>
      <c r="AY5" s="27" t="str">
        <f aca="false">IF(ISNUMBER(AH5),IF(AH5&gt;=Run_Config!$B$33,"PASS","FAIL"),"")</f>
        <v/>
      </c>
    </row>
    <row r="6" customFormat="false" ht="15" hidden="false" customHeight="false" outlineLevel="0" collapsed="false">
      <c r="AR6" s="23" t="str">
        <f aca="false">IFERROR(V6/(U6+V6)*100,"")</f>
        <v/>
      </c>
      <c r="AS6" s="24" t="str">
        <f aca="false">IFERROR(AI6/K6,"")</f>
        <v/>
      </c>
      <c r="AT6" s="24" t="str">
        <f aca="false">IFERROR(IF(AN6="","",AN6*T6/3600),"")</f>
        <v/>
      </c>
      <c r="AU6" s="25" t="str">
        <f aca="false">IFERROR(X6/(AN6*T6),"")</f>
        <v/>
      </c>
      <c r="AV6" s="25" t="str">
        <f aca="false">IFERROR(AN6*T6/3600/X6*1000,"")</f>
        <v/>
      </c>
      <c r="AW6" s="26" t="str">
        <f aca="false">IFERROR(Cost_Model!$B$21*K6*T6/3600/X6*1000000,"")</f>
        <v/>
      </c>
      <c r="AX6" s="27" t="str">
        <f aca="false">IF(ISNUMBER(Z6),IF(Z6&lt;=Run_Config!$B$31,"PASS","FAIL"),"")</f>
        <v/>
      </c>
      <c r="AY6" s="27" t="str">
        <f aca="false">IF(ISNUMBER(AH6),IF(AH6&gt;=Run_Config!$B$33,"PASS","FAIL"),"")</f>
        <v/>
      </c>
    </row>
    <row r="7" customFormat="false" ht="15" hidden="false" customHeight="false" outlineLevel="0" collapsed="false">
      <c r="AR7" s="23" t="str">
        <f aca="false">IFERROR(V7/(U7+V7)*100,"")</f>
        <v/>
      </c>
      <c r="AS7" s="24" t="str">
        <f aca="false">IFERROR(AI7/K7,"")</f>
        <v/>
      </c>
      <c r="AT7" s="24" t="str">
        <f aca="false">IFERROR(IF(AN7="","",AN7*T7/3600),"")</f>
        <v/>
      </c>
      <c r="AU7" s="25" t="str">
        <f aca="false">IFERROR(X7/(AN7*T7),"")</f>
        <v/>
      </c>
      <c r="AV7" s="25" t="str">
        <f aca="false">IFERROR(AN7*T7/3600/X7*1000,"")</f>
        <v/>
      </c>
      <c r="AW7" s="26" t="str">
        <f aca="false">IFERROR(Cost_Model!$B$21*K7*T7/3600/X7*1000000,"")</f>
        <v/>
      </c>
      <c r="AX7" s="27" t="str">
        <f aca="false">IF(ISNUMBER(Z7),IF(Z7&lt;=Run_Config!$B$31,"PASS","FAIL"),"")</f>
        <v/>
      </c>
      <c r="AY7" s="27" t="str">
        <f aca="false">IF(ISNUMBER(AH7),IF(AH7&gt;=Run_Config!$B$33,"PASS","FAIL"),"")</f>
        <v/>
      </c>
    </row>
    <row r="8" customFormat="false" ht="15" hidden="false" customHeight="false" outlineLevel="0" collapsed="false">
      <c r="AR8" s="23" t="str">
        <f aca="false">IFERROR(V8/(U8+V8)*100,"")</f>
        <v/>
      </c>
      <c r="AS8" s="24" t="str">
        <f aca="false">IFERROR(AI8/K8,"")</f>
        <v/>
      </c>
      <c r="AT8" s="24" t="str">
        <f aca="false">IFERROR(IF(AN8="","",AN8*T8/3600),"")</f>
        <v/>
      </c>
      <c r="AU8" s="25" t="str">
        <f aca="false">IFERROR(X8/(AN8*T8),"")</f>
        <v/>
      </c>
      <c r="AV8" s="25" t="str">
        <f aca="false">IFERROR(AN8*T8/3600/X8*1000,"")</f>
        <v/>
      </c>
      <c r="AW8" s="26" t="str">
        <f aca="false">IFERROR(Cost_Model!$B$21*K8*T8/3600/X8*1000000,"")</f>
        <v/>
      </c>
      <c r="AX8" s="27" t="str">
        <f aca="false">IF(ISNUMBER(Z8),IF(Z8&lt;=Run_Config!$B$31,"PASS","FAIL"),"")</f>
        <v/>
      </c>
      <c r="AY8" s="27" t="str">
        <f aca="false">IF(ISNUMBER(AH8),IF(AH8&gt;=Run_Config!$B$33,"PASS","FAIL"),"")</f>
        <v/>
      </c>
    </row>
    <row r="9" customFormat="false" ht="15" hidden="false" customHeight="false" outlineLevel="0" collapsed="false">
      <c r="AR9" s="23" t="str">
        <f aca="false">IFERROR(V9/(U9+V9)*100,"")</f>
        <v/>
      </c>
      <c r="AS9" s="24" t="str">
        <f aca="false">IFERROR(AI9/K9,"")</f>
        <v/>
      </c>
      <c r="AT9" s="24" t="str">
        <f aca="false">IFERROR(IF(AN9="","",AN9*T9/3600),"")</f>
        <v/>
      </c>
      <c r="AU9" s="25" t="str">
        <f aca="false">IFERROR(X9/(AN9*T9),"")</f>
        <v/>
      </c>
      <c r="AV9" s="25" t="str">
        <f aca="false">IFERROR(AN9*T9/3600/X9*1000,"")</f>
        <v/>
      </c>
      <c r="AW9" s="26" t="str">
        <f aca="false">IFERROR(Cost_Model!$B$21*K9*T9/3600/X9*1000000,"")</f>
        <v/>
      </c>
      <c r="AX9" s="27" t="str">
        <f aca="false">IF(ISNUMBER(Z9),IF(Z9&lt;=Run_Config!$B$31,"PASS","FAIL"),"")</f>
        <v/>
      </c>
      <c r="AY9" s="27" t="str">
        <f aca="false">IF(ISNUMBER(AH9),IF(AH9&gt;=Run_Config!$B$33,"PASS","FAIL"),"")</f>
        <v/>
      </c>
    </row>
    <row r="10" customFormat="false" ht="15" hidden="false" customHeight="false" outlineLevel="0" collapsed="false">
      <c r="AR10" s="23" t="str">
        <f aca="false">IFERROR(V10/(U10+V10)*100,"")</f>
        <v/>
      </c>
      <c r="AS10" s="24" t="str">
        <f aca="false">IFERROR(AI10/K10,"")</f>
        <v/>
      </c>
      <c r="AT10" s="24" t="str">
        <f aca="false">IFERROR(IF(AN10="","",AN10*T10/3600),"")</f>
        <v/>
      </c>
      <c r="AU10" s="25" t="str">
        <f aca="false">IFERROR(X10/(AN10*T10),"")</f>
        <v/>
      </c>
      <c r="AV10" s="25" t="str">
        <f aca="false">IFERROR(AN10*T10/3600/X10*1000,"")</f>
        <v/>
      </c>
      <c r="AW10" s="26" t="str">
        <f aca="false">IFERROR(Cost_Model!$B$21*K10*T10/3600/X10*1000000,"")</f>
        <v/>
      </c>
      <c r="AX10" s="27" t="str">
        <f aca="false">IF(ISNUMBER(Z10),IF(Z10&lt;=Run_Config!$B$31,"PASS","FAIL"),"")</f>
        <v/>
      </c>
      <c r="AY10" s="27" t="str">
        <f aca="false">IF(ISNUMBER(AH10),IF(AH10&gt;=Run_Config!$B$33,"PASS","FAIL"),"")</f>
        <v/>
      </c>
    </row>
    <row r="11" customFormat="false" ht="15" hidden="false" customHeight="false" outlineLevel="0" collapsed="false">
      <c r="AR11" s="23" t="str">
        <f aca="false">IFERROR(V11/(U11+V11)*100,"")</f>
        <v/>
      </c>
      <c r="AS11" s="24" t="str">
        <f aca="false">IFERROR(AI11/K11,"")</f>
        <v/>
      </c>
      <c r="AT11" s="24" t="str">
        <f aca="false">IFERROR(IF(AN11="","",AN11*T11/3600),"")</f>
        <v/>
      </c>
      <c r="AU11" s="25" t="str">
        <f aca="false">IFERROR(X11/(AN11*T11),"")</f>
        <v/>
      </c>
      <c r="AV11" s="25" t="str">
        <f aca="false">IFERROR(AN11*T11/3600/X11*1000,"")</f>
        <v/>
      </c>
      <c r="AW11" s="26" t="str">
        <f aca="false">IFERROR(Cost_Model!$B$21*K11*T11/3600/X11*1000000,"")</f>
        <v/>
      </c>
      <c r="AX11" s="27" t="str">
        <f aca="false">IF(ISNUMBER(Z11),IF(Z11&lt;=Run_Config!$B$31,"PASS","FAIL"),"")</f>
        <v/>
      </c>
      <c r="AY11" s="27" t="str">
        <f aca="false">IF(ISNUMBER(AH11),IF(AH11&gt;=Run_Config!$B$33,"PASS","FAIL"),"")</f>
        <v/>
      </c>
    </row>
    <row r="12" customFormat="false" ht="15" hidden="false" customHeight="false" outlineLevel="0" collapsed="false">
      <c r="AR12" s="23" t="str">
        <f aca="false">IFERROR(V12/(U12+V12)*100,"")</f>
        <v/>
      </c>
      <c r="AS12" s="24" t="str">
        <f aca="false">IFERROR(AI12/K12,"")</f>
        <v/>
      </c>
      <c r="AT12" s="24" t="str">
        <f aca="false">IFERROR(IF(AN12="","",AN12*T12/3600),"")</f>
        <v/>
      </c>
      <c r="AU12" s="25" t="str">
        <f aca="false">IFERROR(X12/(AN12*T12),"")</f>
        <v/>
      </c>
      <c r="AV12" s="25" t="str">
        <f aca="false">IFERROR(AN12*T12/3600/X12*1000,"")</f>
        <v/>
      </c>
      <c r="AW12" s="26" t="str">
        <f aca="false">IFERROR(Cost_Model!$B$21*K12*T12/3600/X12*1000000,"")</f>
        <v/>
      </c>
      <c r="AX12" s="27" t="str">
        <f aca="false">IF(ISNUMBER(Z12),IF(Z12&lt;=Run_Config!$B$31,"PASS","FAIL"),"")</f>
        <v/>
      </c>
      <c r="AY12" s="27" t="str">
        <f aca="false">IF(ISNUMBER(AH12),IF(AH12&gt;=Run_Config!$B$33,"PASS","FAIL"),"")</f>
        <v/>
      </c>
    </row>
    <row r="13" customFormat="false" ht="15" hidden="false" customHeight="false" outlineLevel="0" collapsed="false">
      <c r="AR13" s="23" t="str">
        <f aca="false">IFERROR(V13/(U13+V13)*100,"")</f>
        <v/>
      </c>
      <c r="AS13" s="24" t="str">
        <f aca="false">IFERROR(AI13/K13,"")</f>
        <v/>
      </c>
      <c r="AT13" s="24" t="str">
        <f aca="false">IFERROR(IF(AN13="","",AN13*T13/3600),"")</f>
        <v/>
      </c>
      <c r="AU13" s="25" t="str">
        <f aca="false">IFERROR(X13/(AN13*T13),"")</f>
        <v/>
      </c>
      <c r="AV13" s="25" t="str">
        <f aca="false">IFERROR(AN13*T13/3600/X13*1000,"")</f>
        <v/>
      </c>
      <c r="AW13" s="26" t="str">
        <f aca="false">IFERROR(Cost_Model!$B$21*K13*T13/3600/X13*1000000,"")</f>
        <v/>
      </c>
      <c r="AX13" s="27" t="str">
        <f aca="false">IF(ISNUMBER(Z13),IF(Z13&lt;=Run_Config!$B$31,"PASS","FAIL"),"")</f>
        <v/>
      </c>
      <c r="AY13" s="27" t="str">
        <f aca="false">IF(ISNUMBER(AH13),IF(AH13&gt;=Run_Config!$B$33,"PASS","FAIL"),"")</f>
        <v/>
      </c>
    </row>
    <row r="14" customFormat="false" ht="15" hidden="false" customHeight="false" outlineLevel="0" collapsed="false">
      <c r="AR14" s="23" t="str">
        <f aca="false">IFERROR(V14/(U14+V14)*100,"")</f>
        <v/>
      </c>
      <c r="AS14" s="24" t="str">
        <f aca="false">IFERROR(AI14/K14,"")</f>
        <v/>
      </c>
      <c r="AT14" s="24" t="str">
        <f aca="false">IFERROR(IF(AN14="","",AN14*T14/3600),"")</f>
        <v/>
      </c>
      <c r="AU14" s="25" t="str">
        <f aca="false">IFERROR(X14/(AN14*T14),"")</f>
        <v/>
      </c>
      <c r="AV14" s="25" t="str">
        <f aca="false">IFERROR(AN14*T14/3600/X14*1000,"")</f>
        <v/>
      </c>
      <c r="AW14" s="26" t="str">
        <f aca="false">IFERROR(Cost_Model!$B$21*K14*T14/3600/X14*1000000,"")</f>
        <v/>
      </c>
      <c r="AX14" s="27" t="str">
        <f aca="false">IF(ISNUMBER(Z14),IF(Z14&lt;=Run_Config!$B$31,"PASS","FAIL"),"")</f>
        <v/>
      </c>
      <c r="AY14" s="27" t="str">
        <f aca="false">IF(ISNUMBER(AH14),IF(AH14&gt;=Run_Config!$B$33,"PASS","FAIL"),"")</f>
        <v/>
      </c>
    </row>
    <row r="15" customFormat="false" ht="15" hidden="false" customHeight="false" outlineLevel="0" collapsed="false">
      <c r="AR15" s="23" t="str">
        <f aca="false">IFERROR(V15/(U15+V15)*100,"")</f>
        <v/>
      </c>
      <c r="AS15" s="24" t="str">
        <f aca="false">IFERROR(AI15/K15,"")</f>
        <v/>
      </c>
      <c r="AT15" s="24" t="str">
        <f aca="false">IFERROR(IF(AN15="","",AN15*T15/3600),"")</f>
        <v/>
      </c>
      <c r="AU15" s="25" t="str">
        <f aca="false">IFERROR(X15/(AN15*T15),"")</f>
        <v/>
      </c>
      <c r="AV15" s="25" t="str">
        <f aca="false">IFERROR(AN15*T15/3600/X15*1000,"")</f>
        <v/>
      </c>
      <c r="AW15" s="26" t="str">
        <f aca="false">IFERROR(Cost_Model!$B$21*K15*T15/3600/X15*1000000,"")</f>
        <v/>
      </c>
      <c r="AX15" s="27" t="str">
        <f aca="false">IF(ISNUMBER(Z15),IF(Z15&lt;=Run_Config!$B$31,"PASS","FAIL"),"")</f>
        <v/>
      </c>
      <c r="AY15" s="27" t="str">
        <f aca="false">IF(ISNUMBER(AH15),IF(AH15&gt;=Run_Config!$B$33,"PASS","FAIL"),"")</f>
        <v/>
      </c>
    </row>
    <row r="16" customFormat="false" ht="15" hidden="false" customHeight="false" outlineLevel="0" collapsed="false">
      <c r="AR16" s="23" t="str">
        <f aca="false">IFERROR(V16/(U16+V16)*100,"")</f>
        <v/>
      </c>
      <c r="AS16" s="24" t="str">
        <f aca="false">IFERROR(AI16/K16,"")</f>
        <v/>
      </c>
      <c r="AT16" s="24" t="str">
        <f aca="false">IFERROR(IF(AN16="","",AN16*T16/3600),"")</f>
        <v/>
      </c>
      <c r="AU16" s="25" t="str">
        <f aca="false">IFERROR(X16/(AN16*T16),"")</f>
        <v/>
      </c>
      <c r="AV16" s="25" t="str">
        <f aca="false">IFERROR(AN16*T16/3600/X16*1000,"")</f>
        <v/>
      </c>
      <c r="AW16" s="26" t="str">
        <f aca="false">IFERROR(Cost_Model!$B$21*K16*T16/3600/X16*1000000,"")</f>
        <v/>
      </c>
      <c r="AX16" s="27" t="str">
        <f aca="false">IF(ISNUMBER(Z16),IF(Z16&lt;=Run_Config!$B$31,"PASS","FAIL"),"")</f>
        <v/>
      </c>
      <c r="AY16" s="27" t="str">
        <f aca="false">IF(ISNUMBER(AH16),IF(AH16&gt;=Run_Config!$B$33,"PASS","FAIL"),"")</f>
        <v/>
      </c>
    </row>
    <row r="17" customFormat="false" ht="15" hidden="false" customHeight="false" outlineLevel="0" collapsed="false">
      <c r="AR17" s="23" t="str">
        <f aca="false">IFERROR(V17/(U17+V17)*100,"")</f>
        <v/>
      </c>
      <c r="AS17" s="24" t="str">
        <f aca="false">IFERROR(AI17/K17,"")</f>
        <v/>
      </c>
      <c r="AT17" s="24" t="str">
        <f aca="false">IFERROR(IF(AN17="","",AN17*T17/3600),"")</f>
        <v/>
      </c>
      <c r="AU17" s="25" t="str">
        <f aca="false">IFERROR(X17/(AN17*T17),"")</f>
        <v/>
      </c>
      <c r="AV17" s="25" t="str">
        <f aca="false">IFERROR(AN17*T17/3600/X17*1000,"")</f>
        <v/>
      </c>
      <c r="AW17" s="26" t="str">
        <f aca="false">IFERROR(Cost_Model!$B$21*K17*T17/3600/X17*1000000,"")</f>
        <v/>
      </c>
      <c r="AX17" s="27" t="str">
        <f aca="false">IF(ISNUMBER(Z17),IF(Z17&lt;=Run_Config!$B$31,"PASS","FAIL"),"")</f>
        <v/>
      </c>
      <c r="AY17" s="27" t="str">
        <f aca="false">IF(ISNUMBER(AH17),IF(AH17&gt;=Run_Config!$B$33,"PASS","FAIL"),"")</f>
        <v/>
      </c>
    </row>
    <row r="18" customFormat="false" ht="15" hidden="false" customHeight="false" outlineLevel="0" collapsed="false">
      <c r="AR18" s="23" t="str">
        <f aca="false">IFERROR(V18/(U18+V18)*100,"")</f>
        <v/>
      </c>
      <c r="AS18" s="24" t="str">
        <f aca="false">IFERROR(AI18/K18,"")</f>
        <v/>
      </c>
      <c r="AT18" s="24" t="str">
        <f aca="false">IFERROR(IF(AN18="","",AN18*T18/3600),"")</f>
        <v/>
      </c>
      <c r="AU18" s="25" t="str">
        <f aca="false">IFERROR(X18/(AN18*T18),"")</f>
        <v/>
      </c>
      <c r="AV18" s="25" t="str">
        <f aca="false">IFERROR(AN18*T18/3600/X18*1000,"")</f>
        <v/>
      </c>
      <c r="AW18" s="26" t="str">
        <f aca="false">IFERROR(Cost_Model!$B$21*K18*T18/3600/X18*1000000,"")</f>
        <v/>
      </c>
      <c r="AX18" s="27" t="str">
        <f aca="false">IF(ISNUMBER(Z18),IF(Z18&lt;=Run_Config!$B$31,"PASS","FAIL"),"")</f>
        <v/>
      </c>
      <c r="AY18" s="27" t="str">
        <f aca="false">IF(ISNUMBER(AH18),IF(AH18&gt;=Run_Config!$B$33,"PASS","FAIL"),"")</f>
        <v/>
      </c>
    </row>
    <row r="19" customFormat="false" ht="15" hidden="false" customHeight="false" outlineLevel="0" collapsed="false">
      <c r="AR19" s="23" t="str">
        <f aca="false">IFERROR(V19/(U19+V19)*100,"")</f>
        <v/>
      </c>
      <c r="AS19" s="24" t="str">
        <f aca="false">IFERROR(AI19/K19,"")</f>
        <v/>
      </c>
      <c r="AT19" s="24" t="str">
        <f aca="false">IFERROR(IF(AN19="","",AN19*T19/3600),"")</f>
        <v/>
      </c>
      <c r="AU19" s="25" t="str">
        <f aca="false">IFERROR(X19/(AN19*T19),"")</f>
        <v/>
      </c>
      <c r="AV19" s="25" t="str">
        <f aca="false">IFERROR(AN19*T19/3600/X19*1000,"")</f>
        <v/>
      </c>
      <c r="AW19" s="26" t="str">
        <f aca="false">IFERROR(Cost_Model!$B$21*K19*T19/3600/X19*1000000,"")</f>
        <v/>
      </c>
      <c r="AX19" s="27" t="str">
        <f aca="false">IF(ISNUMBER(Z19),IF(Z19&lt;=Run_Config!$B$31,"PASS","FAIL"),"")</f>
        <v/>
      </c>
      <c r="AY19" s="27" t="str">
        <f aca="false">IF(ISNUMBER(AH19),IF(AH19&gt;=Run_Config!$B$33,"PASS","FAIL"),"")</f>
        <v/>
      </c>
    </row>
    <row r="20" customFormat="false" ht="15" hidden="false" customHeight="false" outlineLevel="0" collapsed="false">
      <c r="AR20" s="23" t="str">
        <f aca="false">IFERROR(V20/(U20+V20)*100,"")</f>
        <v/>
      </c>
      <c r="AS20" s="24" t="str">
        <f aca="false">IFERROR(AI20/K20,"")</f>
        <v/>
      </c>
      <c r="AT20" s="24" t="str">
        <f aca="false">IFERROR(IF(AN20="","",AN20*T20/3600),"")</f>
        <v/>
      </c>
      <c r="AU20" s="25" t="str">
        <f aca="false">IFERROR(X20/(AN20*T20),"")</f>
        <v/>
      </c>
      <c r="AV20" s="25" t="str">
        <f aca="false">IFERROR(AN20*T20/3600/X20*1000,"")</f>
        <v/>
      </c>
      <c r="AW20" s="26" t="str">
        <f aca="false">IFERROR(Cost_Model!$B$21*K20*T20/3600/X20*1000000,"")</f>
        <v/>
      </c>
      <c r="AX20" s="27" t="str">
        <f aca="false">IF(ISNUMBER(Z20),IF(Z20&lt;=Run_Config!$B$31,"PASS","FAIL"),"")</f>
        <v/>
      </c>
      <c r="AY20" s="27" t="str">
        <f aca="false">IF(ISNUMBER(AH20),IF(AH20&gt;=Run_Config!$B$33,"PASS","FAIL"),"")</f>
        <v/>
      </c>
    </row>
    <row r="21" customFormat="false" ht="15" hidden="false" customHeight="false" outlineLevel="0" collapsed="false">
      <c r="AR21" s="23" t="str">
        <f aca="false">IFERROR(V21/(U21+V21)*100,"")</f>
        <v/>
      </c>
      <c r="AS21" s="24" t="str">
        <f aca="false">IFERROR(AI21/K21,"")</f>
        <v/>
      </c>
      <c r="AT21" s="24" t="str">
        <f aca="false">IFERROR(IF(AN21="","",AN21*T21/3600),"")</f>
        <v/>
      </c>
      <c r="AU21" s="25" t="str">
        <f aca="false">IFERROR(X21/(AN21*T21),"")</f>
        <v/>
      </c>
      <c r="AV21" s="25" t="str">
        <f aca="false">IFERROR(AN21*T21/3600/X21*1000,"")</f>
        <v/>
      </c>
      <c r="AW21" s="26" t="str">
        <f aca="false">IFERROR(Cost_Model!$B$21*K21*T21/3600/X21*1000000,"")</f>
        <v/>
      </c>
      <c r="AX21" s="27" t="str">
        <f aca="false">IF(ISNUMBER(Z21),IF(Z21&lt;=Run_Config!$B$31,"PASS","FAIL"),"")</f>
        <v/>
      </c>
      <c r="AY21" s="27" t="str">
        <f aca="false">IF(ISNUMBER(AH21),IF(AH21&gt;=Run_Config!$B$33,"PASS","FAIL"),"")</f>
        <v/>
      </c>
    </row>
    <row r="22" customFormat="false" ht="15" hidden="false" customHeight="false" outlineLevel="0" collapsed="false">
      <c r="AR22" s="23" t="str">
        <f aca="false">IFERROR(V22/(U22+V22)*100,"")</f>
        <v/>
      </c>
      <c r="AS22" s="24" t="str">
        <f aca="false">IFERROR(AI22/K22,"")</f>
        <v/>
      </c>
      <c r="AT22" s="24" t="str">
        <f aca="false">IFERROR(IF(AN22="","",AN22*T22/3600),"")</f>
        <v/>
      </c>
      <c r="AU22" s="25" t="str">
        <f aca="false">IFERROR(X22/(AN22*T22),"")</f>
        <v/>
      </c>
      <c r="AV22" s="25" t="str">
        <f aca="false">IFERROR(AN22*T22/3600/X22*1000,"")</f>
        <v/>
      </c>
      <c r="AW22" s="26" t="str">
        <f aca="false">IFERROR(Cost_Model!$B$21*K22*T22/3600/X22*1000000,"")</f>
        <v/>
      </c>
      <c r="AX22" s="27" t="str">
        <f aca="false">IF(ISNUMBER(Z22),IF(Z22&lt;=Run_Config!$B$31,"PASS","FAIL"),"")</f>
        <v/>
      </c>
      <c r="AY22" s="27" t="str">
        <f aca="false">IF(ISNUMBER(AH22),IF(AH22&gt;=Run_Config!$B$33,"PASS","FAIL"),"")</f>
        <v/>
      </c>
    </row>
    <row r="23" customFormat="false" ht="15" hidden="false" customHeight="false" outlineLevel="0" collapsed="false">
      <c r="AR23" s="23" t="str">
        <f aca="false">IFERROR(V23/(U23+V23)*100,"")</f>
        <v/>
      </c>
      <c r="AS23" s="24" t="str">
        <f aca="false">IFERROR(AI23/K23,"")</f>
        <v/>
      </c>
      <c r="AT23" s="24" t="str">
        <f aca="false">IFERROR(IF(AN23="","",AN23*T23/3600),"")</f>
        <v/>
      </c>
      <c r="AU23" s="25" t="str">
        <f aca="false">IFERROR(X23/(AN23*T23),"")</f>
        <v/>
      </c>
      <c r="AV23" s="25" t="str">
        <f aca="false">IFERROR(AN23*T23/3600/X23*1000,"")</f>
        <v/>
      </c>
      <c r="AW23" s="26" t="str">
        <f aca="false">IFERROR(Cost_Model!$B$21*K23*T23/3600/X23*1000000,"")</f>
        <v/>
      </c>
      <c r="AX23" s="27" t="str">
        <f aca="false">IF(ISNUMBER(Z23),IF(Z23&lt;=Run_Config!$B$31,"PASS","FAIL"),"")</f>
        <v/>
      </c>
      <c r="AY23" s="27" t="str">
        <f aca="false">IF(ISNUMBER(AH23),IF(AH23&gt;=Run_Config!$B$33,"PASS","FAIL"),"")</f>
        <v/>
      </c>
    </row>
    <row r="24" customFormat="false" ht="15" hidden="false" customHeight="false" outlineLevel="0" collapsed="false">
      <c r="AR24" s="23" t="str">
        <f aca="false">IFERROR(V24/(U24+V24)*100,"")</f>
        <v/>
      </c>
      <c r="AS24" s="24" t="str">
        <f aca="false">IFERROR(AI24/K24,"")</f>
        <v/>
      </c>
      <c r="AT24" s="24" t="str">
        <f aca="false">IFERROR(IF(AN24="","",AN24*T24/3600),"")</f>
        <v/>
      </c>
      <c r="AU24" s="25" t="str">
        <f aca="false">IFERROR(X24/(AN24*T24),"")</f>
        <v/>
      </c>
      <c r="AV24" s="25" t="str">
        <f aca="false">IFERROR(AN24*T24/3600/X24*1000,"")</f>
        <v/>
      </c>
      <c r="AW24" s="26" t="str">
        <f aca="false">IFERROR(Cost_Model!$B$21*K24*T24/3600/X24*1000000,"")</f>
        <v/>
      </c>
      <c r="AX24" s="27" t="str">
        <f aca="false">IF(ISNUMBER(Z24),IF(Z24&lt;=Run_Config!$B$31,"PASS","FAIL"),"")</f>
        <v/>
      </c>
      <c r="AY24" s="27" t="str">
        <f aca="false">IF(ISNUMBER(AH24),IF(AH24&gt;=Run_Config!$B$33,"PASS","FAIL"),"")</f>
        <v/>
      </c>
    </row>
    <row r="25" customFormat="false" ht="15" hidden="false" customHeight="false" outlineLevel="0" collapsed="false">
      <c r="AR25" s="23" t="str">
        <f aca="false">IFERROR(V25/(U25+V25)*100,"")</f>
        <v/>
      </c>
      <c r="AS25" s="24" t="str">
        <f aca="false">IFERROR(AI25/K25,"")</f>
        <v/>
      </c>
      <c r="AT25" s="24" t="str">
        <f aca="false">IFERROR(IF(AN25="","",AN25*T25/3600),"")</f>
        <v/>
      </c>
      <c r="AU25" s="25" t="str">
        <f aca="false">IFERROR(X25/(AN25*T25),"")</f>
        <v/>
      </c>
      <c r="AV25" s="25" t="str">
        <f aca="false">IFERROR(AN25*T25/3600/X25*1000,"")</f>
        <v/>
      </c>
      <c r="AW25" s="26" t="str">
        <f aca="false">IFERROR(Cost_Model!$B$21*K25*T25/3600/X25*1000000,"")</f>
        <v/>
      </c>
      <c r="AX25" s="27" t="str">
        <f aca="false">IF(ISNUMBER(Z25),IF(Z25&lt;=Run_Config!$B$31,"PASS","FAIL"),"")</f>
        <v/>
      </c>
      <c r="AY25" s="27" t="str">
        <f aca="false">IF(ISNUMBER(AH25),IF(AH25&gt;=Run_Config!$B$33,"PASS","FAIL"),"")</f>
        <v/>
      </c>
    </row>
    <row r="26" customFormat="false" ht="15" hidden="false" customHeight="false" outlineLevel="0" collapsed="false">
      <c r="AR26" s="23" t="str">
        <f aca="false">IFERROR(V26/(U26+V26)*100,"")</f>
        <v/>
      </c>
      <c r="AS26" s="24" t="str">
        <f aca="false">IFERROR(AI26/K26,"")</f>
        <v/>
      </c>
      <c r="AT26" s="24" t="str">
        <f aca="false">IFERROR(IF(AN26="","",AN26*T26/3600),"")</f>
        <v/>
      </c>
      <c r="AU26" s="25" t="str">
        <f aca="false">IFERROR(X26/(AN26*T26),"")</f>
        <v/>
      </c>
      <c r="AV26" s="25" t="str">
        <f aca="false">IFERROR(AN26*T26/3600/X26*1000,"")</f>
        <v/>
      </c>
      <c r="AW26" s="26" t="str">
        <f aca="false">IFERROR(Cost_Model!$B$21*K26*T26/3600/X26*1000000,"")</f>
        <v/>
      </c>
      <c r="AX26" s="27" t="str">
        <f aca="false">IF(ISNUMBER(Z26),IF(Z26&lt;=Run_Config!$B$31,"PASS","FAIL"),"")</f>
        <v/>
      </c>
      <c r="AY26" s="27" t="str">
        <f aca="false">IF(ISNUMBER(AH26),IF(AH26&gt;=Run_Config!$B$33,"PASS","FAIL"),"")</f>
        <v/>
      </c>
    </row>
    <row r="27" customFormat="false" ht="15" hidden="false" customHeight="false" outlineLevel="0" collapsed="false">
      <c r="AR27" s="23" t="str">
        <f aca="false">IFERROR(V27/(U27+V27)*100,"")</f>
        <v/>
      </c>
      <c r="AS27" s="24" t="str">
        <f aca="false">IFERROR(AI27/K27,"")</f>
        <v/>
      </c>
      <c r="AT27" s="24" t="str">
        <f aca="false">IFERROR(IF(AN27="","",AN27*T27/3600),"")</f>
        <v/>
      </c>
      <c r="AU27" s="25" t="str">
        <f aca="false">IFERROR(X27/(AN27*T27),"")</f>
        <v/>
      </c>
      <c r="AV27" s="25" t="str">
        <f aca="false">IFERROR(AN27*T27/3600/X27*1000,"")</f>
        <v/>
      </c>
      <c r="AW27" s="26" t="str">
        <f aca="false">IFERROR(Cost_Model!$B$21*K27*T27/3600/X27*1000000,"")</f>
        <v/>
      </c>
      <c r="AX27" s="27" t="str">
        <f aca="false">IF(ISNUMBER(Z27),IF(Z27&lt;=Run_Config!$B$31,"PASS","FAIL"),"")</f>
        <v/>
      </c>
      <c r="AY27" s="27" t="str">
        <f aca="false">IF(ISNUMBER(AH27),IF(AH27&gt;=Run_Config!$B$33,"PASS","FAIL"),"")</f>
        <v/>
      </c>
    </row>
    <row r="28" customFormat="false" ht="15" hidden="false" customHeight="false" outlineLevel="0" collapsed="false">
      <c r="AR28" s="23" t="str">
        <f aca="false">IFERROR(V28/(U28+V28)*100,"")</f>
        <v/>
      </c>
      <c r="AS28" s="24" t="str">
        <f aca="false">IFERROR(AI28/K28,"")</f>
        <v/>
      </c>
      <c r="AT28" s="24" t="str">
        <f aca="false">IFERROR(IF(AN28="","",AN28*T28/3600),"")</f>
        <v/>
      </c>
      <c r="AU28" s="25" t="str">
        <f aca="false">IFERROR(X28/(AN28*T28),"")</f>
        <v/>
      </c>
      <c r="AV28" s="25" t="str">
        <f aca="false">IFERROR(AN28*T28/3600/X28*1000,"")</f>
        <v/>
      </c>
      <c r="AW28" s="26" t="str">
        <f aca="false">IFERROR(Cost_Model!$B$21*K28*T28/3600/X28*1000000,"")</f>
        <v/>
      </c>
      <c r="AX28" s="27" t="str">
        <f aca="false">IF(ISNUMBER(Z28),IF(Z28&lt;=Run_Config!$B$31,"PASS","FAIL"),"")</f>
        <v/>
      </c>
      <c r="AY28" s="27" t="str">
        <f aca="false">IF(ISNUMBER(AH28),IF(AH28&gt;=Run_Config!$B$33,"PASS","FAIL"),"")</f>
        <v/>
      </c>
    </row>
    <row r="29" customFormat="false" ht="15" hidden="false" customHeight="false" outlineLevel="0" collapsed="false">
      <c r="AR29" s="23" t="str">
        <f aca="false">IFERROR(V29/(U29+V29)*100,"")</f>
        <v/>
      </c>
      <c r="AS29" s="24" t="str">
        <f aca="false">IFERROR(AI29/K29,"")</f>
        <v/>
      </c>
      <c r="AT29" s="24" t="str">
        <f aca="false">IFERROR(IF(AN29="","",AN29*T29/3600),"")</f>
        <v/>
      </c>
      <c r="AU29" s="25" t="str">
        <f aca="false">IFERROR(X29/(AN29*T29),"")</f>
        <v/>
      </c>
      <c r="AV29" s="25" t="str">
        <f aca="false">IFERROR(AN29*T29/3600/X29*1000,"")</f>
        <v/>
      </c>
      <c r="AW29" s="26" t="str">
        <f aca="false">IFERROR(Cost_Model!$B$21*K29*T29/3600/X29*1000000,"")</f>
        <v/>
      </c>
      <c r="AX29" s="27" t="str">
        <f aca="false">IF(ISNUMBER(Z29),IF(Z29&lt;=Run_Config!$B$31,"PASS","FAIL"),"")</f>
        <v/>
      </c>
      <c r="AY29" s="27" t="str">
        <f aca="false">IF(ISNUMBER(AH29),IF(AH29&gt;=Run_Config!$B$33,"PASS","FAIL"),"")</f>
        <v/>
      </c>
    </row>
    <row r="30" customFormat="false" ht="15" hidden="false" customHeight="false" outlineLevel="0" collapsed="false">
      <c r="AR30" s="23" t="str">
        <f aca="false">IFERROR(V30/(U30+V30)*100,"")</f>
        <v/>
      </c>
      <c r="AS30" s="24" t="str">
        <f aca="false">IFERROR(AI30/K30,"")</f>
        <v/>
      </c>
      <c r="AT30" s="24" t="str">
        <f aca="false">IFERROR(IF(AN30="","",AN30*T30/3600),"")</f>
        <v/>
      </c>
      <c r="AU30" s="25" t="str">
        <f aca="false">IFERROR(X30/(AN30*T30),"")</f>
        <v/>
      </c>
      <c r="AV30" s="25" t="str">
        <f aca="false">IFERROR(AN30*T30/3600/X30*1000,"")</f>
        <v/>
      </c>
      <c r="AW30" s="26" t="str">
        <f aca="false">IFERROR(Cost_Model!$B$21*K30*T30/3600/X30*1000000,"")</f>
        <v/>
      </c>
      <c r="AX30" s="27" t="str">
        <f aca="false">IF(ISNUMBER(Z30),IF(Z30&lt;=Run_Config!$B$31,"PASS","FAIL"),"")</f>
        <v/>
      </c>
      <c r="AY30" s="27" t="str">
        <f aca="false">IF(ISNUMBER(AH30),IF(AH30&gt;=Run_Config!$B$33,"PASS","FAIL"),"")</f>
        <v/>
      </c>
    </row>
    <row r="31" customFormat="false" ht="15" hidden="false" customHeight="false" outlineLevel="0" collapsed="false">
      <c r="AR31" s="23" t="str">
        <f aca="false">IFERROR(V31/(U31+V31)*100,"")</f>
        <v/>
      </c>
      <c r="AS31" s="24" t="str">
        <f aca="false">IFERROR(AI31/K31,"")</f>
        <v/>
      </c>
      <c r="AT31" s="24" t="str">
        <f aca="false">IFERROR(IF(AN31="","",AN31*T31/3600),"")</f>
        <v/>
      </c>
      <c r="AU31" s="25" t="str">
        <f aca="false">IFERROR(X31/(AN31*T31),"")</f>
        <v/>
      </c>
      <c r="AV31" s="25" t="str">
        <f aca="false">IFERROR(AN31*T31/3600/X31*1000,"")</f>
        <v/>
      </c>
      <c r="AW31" s="26" t="str">
        <f aca="false">IFERROR(Cost_Model!$B$21*K31*T31/3600/X31*1000000,"")</f>
        <v/>
      </c>
      <c r="AX31" s="27" t="str">
        <f aca="false">IF(ISNUMBER(Z31),IF(Z31&lt;=Run_Config!$B$31,"PASS","FAIL"),"")</f>
        <v/>
      </c>
      <c r="AY31" s="27" t="str">
        <f aca="false">IF(ISNUMBER(AH31),IF(AH31&gt;=Run_Config!$B$33,"PASS","FAIL"),"")</f>
        <v/>
      </c>
    </row>
    <row r="32" customFormat="false" ht="15" hidden="false" customHeight="false" outlineLevel="0" collapsed="false">
      <c r="AR32" s="23" t="str">
        <f aca="false">IFERROR(V32/(U32+V32)*100,"")</f>
        <v/>
      </c>
      <c r="AS32" s="24" t="str">
        <f aca="false">IFERROR(AI32/K32,"")</f>
        <v/>
      </c>
      <c r="AT32" s="24" t="str">
        <f aca="false">IFERROR(IF(AN32="","",AN32*T32/3600),"")</f>
        <v/>
      </c>
      <c r="AU32" s="25" t="str">
        <f aca="false">IFERROR(X32/(AN32*T32),"")</f>
        <v/>
      </c>
      <c r="AV32" s="25" t="str">
        <f aca="false">IFERROR(AN32*T32/3600/X32*1000,"")</f>
        <v/>
      </c>
      <c r="AW32" s="26" t="str">
        <f aca="false">IFERROR(Cost_Model!$B$21*K32*T32/3600/X32*1000000,"")</f>
        <v/>
      </c>
      <c r="AX32" s="27" t="str">
        <f aca="false">IF(ISNUMBER(Z32),IF(Z32&lt;=Run_Config!$B$31,"PASS","FAIL"),"")</f>
        <v/>
      </c>
      <c r="AY32" s="27" t="str">
        <f aca="false">IF(ISNUMBER(AH32),IF(AH32&gt;=Run_Config!$B$33,"PASS","FAIL"),"")</f>
        <v/>
      </c>
    </row>
    <row r="33" customFormat="false" ht="15" hidden="false" customHeight="false" outlineLevel="0" collapsed="false">
      <c r="AR33" s="23" t="str">
        <f aca="false">IFERROR(V33/(U33+V33)*100,"")</f>
        <v/>
      </c>
      <c r="AS33" s="24" t="str">
        <f aca="false">IFERROR(AI33/K33,"")</f>
        <v/>
      </c>
      <c r="AT33" s="24" t="str">
        <f aca="false">IFERROR(IF(AN33="","",AN33*T33/3600),"")</f>
        <v/>
      </c>
      <c r="AU33" s="25" t="str">
        <f aca="false">IFERROR(X33/(AN33*T33),"")</f>
        <v/>
      </c>
      <c r="AV33" s="25" t="str">
        <f aca="false">IFERROR(AN33*T33/3600/X33*1000,"")</f>
        <v/>
      </c>
      <c r="AW33" s="26" t="str">
        <f aca="false">IFERROR(Cost_Model!$B$21*K33*T33/3600/X33*1000000,"")</f>
        <v/>
      </c>
      <c r="AX33" s="27" t="str">
        <f aca="false">IF(ISNUMBER(Z33),IF(Z33&lt;=Run_Config!$B$31,"PASS","FAIL"),"")</f>
        <v/>
      </c>
      <c r="AY33" s="27" t="str">
        <f aca="false">IF(ISNUMBER(AH33),IF(AH33&gt;=Run_Config!$B$33,"PASS","FAIL"),"")</f>
        <v/>
      </c>
    </row>
    <row r="34" customFormat="false" ht="15" hidden="false" customHeight="false" outlineLevel="0" collapsed="false">
      <c r="AR34" s="23" t="str">
        <f aca="false">IFERROR(V34/(U34+V34)*100,"")</f>
        <v/>
      </c>
      <c r="AS34" s="24" t="str">
        <f aca="false">IFERROR(AI34/K34,"")</f>
        <v/>
      </c>
      <c r="AT34" s="24" t="str">
        <f aca="false">IFERROR(IF(AN34="","",AN34*T34/3600),"")</f>
        <v/>
      </c>
      <c r="AU34" s="25" t="str">
        <f aca="false">IFERROR(X34/(AN34*T34),"")</f>
        <v/>
      </c>
      <c r="AV34" s="25" t="str">
        <f aca="false">IFERROR(AN34*T34/3600/X34*1000,"")</f>
        <v/>
      </c>
      <c r="AW34" s="26" t="str">
        <f aca="false">IFERROR(Cost_Model!$B$21*K34*T34/3600/X34*1000000,"")</f>
        <v/>
      </c>
      <c r="AX34" s="27" t="str">
        <f aca="false">IF(ISNUMBER(Z34),IF(Z34&lt;=Run_Config!$B$31,"PASS","FAIL"),"")</f>
        <v/>
      </c>
      <c r="AY34" s="27" t="str">
        <f aca="false">IF(ISNUMBER(AH34),IF(AH34&gt;=Run_Config!$B$33,"PASS","FAIL"),"")</f>
        <v/>
      </c>
    </row>
    <row r="35" customFormat="false" ht="15" hidden="false" customHeight="false" outlineLevel="0" collapsed="false">
      <c r="AR35" s="23" t="str">
        <f aca="false">IFERROR(V35/(U35+V35)*100,"")</f>
        <v/>
      </c>
      <c r="AS35" s="24" t="str">
        <f aca="false">IFERROR(AI35/K35,"")</f>
        <v/>
      </c>
      <c r="AT35" s="24" t="str">
        <f aca="false">IFERROR(IF(AN35="","",AN35*T35/3600),"")</f>
        <v/>
      </c>
      <c r="AU35" s="25" t="str">
        <f aca="false">IFERROR(X35/(AN35*T35),"")</f>
        <v/>
      </c>
      <c r="AV35" s="25" t="str">
        <f aca="false">IFERROR(AN35*T35/3600/X35*1000,"")</f>
        <v/>
      </c>
      <c r="AW35" s="26" t="str">
        <f aca="false">IFERROR(Cost_Model!$B$21*K35*T35/3600/X35*1000000,"")</f>
        <v/>
      </c>
      <c r="AX35" s="27" t="str">
        <f aca="false">IF(ISNUMBER(Z35),IF(Z35&lt;=Run_Config!$B$31,"PASS","FAIL"),"")</f>
        <v/>
      </c>
      <c r="AY35" s="27" t="str">
        <f aca="false">IF(ISNUMBER(AH35),IF(AH35&gt;=Run_Config!$B$33,"PASS","FAIL"),"")</f>
        <v/>
      </c>
    </row>
    <row r="36" customFormat="false" ht="15" hidden="false" customHeight="false" outlineLevel="0" collapsed="false">
      <c r="AR36" s="23" t="str">
        <f aca="false">IFERROR(V36/(U36+V36)*100,"")</f>
        <v/>
      </c>
      <c r="AS36" s="24" t="str">
        <f aca="false">IFERROR(AI36/K36,"")</f>
        <v/>
      </c>
      <c r="AT36" s="24" t="str">
        <f aca="false">IFERROR(IF(AN36="","",AN36*T36/3600),"")</f>
        <v/>
      </c>
      <c r="AU36" s="25" t="str">
        <f aca="false">IFERROR(X36/(AN36*T36),"")</f>
        <v/>
      </c>
      <c r="AV36" s="25" t="str">
        <f aca="false">IFERROR(AN36*T36/3600/X36*1000,"")</f>
        <v/>
      </c>
      <c r="AW36" s="26" t="str">
        <f aca="false">IFERROR(Cost_Model!$B$21*K36*T36/3600/X36*1000000,"")</f>
        <v/>
      </c>
      <c r="AX36" s="27" t="str">
        <f aca="false">IF(ISNUMBER(Z36),IF(Z36&lt;=Run_Config!$B$31,"PASS","FAIL"),"")</f>
        <v/>
      </c>
      <c r="AY36" s="27" t="str">
        <f aca="false">IF(ISNUMBER(AH36),IF(AH36&gt;=Run_Config!$B$33,"PASS","FAIL"),"")</f>
        <v/>
      </c>
    </row>
    <row r="37" customFormat="false" ht="15" hidden="false" customHeight="false" outlineLevel="0" collapsed="false">
      <c r="AR37" s="23" t="str">
        <f aca="false">IFERROR(V37/(U37+V37)*100,"")</f>
        <v/>
      </c>
      <c r="AS37" s="24" t="str">
        <f aca="false">IFERROR(AI37/K37,"")</f>
        <v/>
      </c>
      <c r="AT37" s="24" t="str">
        <f aca="false">IFERROR(IF(AN37="","",AN37*T37/3600),"")</f>
        <v/>
      </c>
      <c r="AU37" s="25" t="str">
        <f aca="false">IFERROR(X37/(AN37*T37),"")</f>
        <v/>
      </c>
      <c r="AV37" s="25" t="str">
        <f aca="false">IFERROR(AN37*T37/3600/X37*1000,"")</f>
        <v/>
      </c>
      <c r="AW37" s="26" t="str">
        <f aca="false">IFERROR(Cost_Model!$B$21*K37*T37/3600/X37*1000000,"")</f>
        <v/>
      </c>
      <c r="AX37" s="27" t="str">
        <f aca="false">IF(ISNUMBER(Z37),IF(Z37&lt;=Run_Config!$B$31,"PASS","FAIL"),"")</f>
        <v/>
      </c>
      <c r="AY37" s="27" t="str">
        <f aca="false">IF(ISNUMBER(AH37),IF(AH37&gt;=Run_Config!$B$33,"PASS","FAIL"),"")</f>
        <v/>
      </c>
    </row>
    <row r="38" customFormat="false" ht="15" hidden="false" customHeight="false" outlineLevel="0" collapsed="false">
      <c r="AR38" s="23" t="str">
        <f aca="false">IFERROR(V38/(U38+V38)*100,"")</f>
        <v/>
      </c>
      <c r="AS38" s="24" t="str">
        <f aca="false">IFERROR(AI38/K38,"")</f>
        <v/>
      </c>
      <c r="AT38" s="24" t="str">
        <f aca="false">IFERROR(IF(AN38="","",AN38*T38/3600),"")</f>
        <v/>
      </c>
      <c r="AU38" s="25" t="str">
        <f aca="false">IFERROR(X38/(AN38*T38),"")</f>
        <v/>
      </c>
      <c r="AV38" s="25" t="str">
        <f aca="false">IFERROR(AN38*T38/3600/X38*1000,"")</f>
        <v/>
      </c>
      <c r="AW38" s="26" t="str">
        <f aca="false">IFERROR(Cost_Model!$B$21*K38*T38/3600/X38*1000000,"")</f>
        <v/>
      </c>
      <c r="AX38" s="27" t="str">
        <f aca="false">IF(ISNUMBER(Z38),IF(Z38&lt;=Run_Config!$B$31,"PASS","FAIL"),"")</f>
        <v/>
      </c>
      <c r="AY38" s="27" t="str">
        <f aca="false">IF(ISNUMBER(AH38),IF(AH38&gt;=Run_Config!$B$33,"PASS","FAIL"),"")</f>
        <v/>
      </c>
    </row>
    <row r="39" customFormat="false" ht="15" hidden="false" customHeight="false" outlineLevel="0" collapsed="false">
      <c r="AR39" s="23" t="str">
        <f aca="false">IFERROR(V39/(U39+V39)*100,"")</f>
        <v/>
      </c>
      <c r="AS39" s="24" t="str">
        <f aca="false">IFERROR(AI39/K39,"")</f>
        <v/>
      </c>
      <c r="AT39" s="24" t="str">
        <f aca="false">IFERROR(IF(AN39="","",AN39*T39/3600),"")</f>
        <v/>
      </c>
      <c r="AU39" s="25" t="str">
        <f aca="false">IFERROR(X39/(AN39*T39),"")</f>
        <v/>
      </c>
      <c r="AV39" s="25" t="str">
        <f aca="false">IFERROR(AN39*T39/3600/X39*1000,"")</f>
        <v/>
      </c>
      <c r="AW39" s="26" t="str">
        <f aca="false">IFERROR(Cost_Model!$B$21*K39*T39/3600/X39*1000000,"")</f>
        <v/>
      </c>
      <c r="AX39" s="27" t="str">
        <f aca="false">IF(ISNUMBER(Z39),IF(Z39&lt;=Run_Config!$B$31,"PASS","FAIL"),"")</f>
        <v/>
      </c>
      <c r="AY39" s="27" t="str">
        <f aca="false">IF(ISNUMBER(AH39),IF(AH39&gt;=Run_Config!$B$33,"PASS","FAIL"),"")</f>
        <v/>
      </c>
    </row>
    <row r="40" customFormat="false" ht="15" hidden="false" customHeight="false" outlineLevel="0" collapsed="false">
      <c r="AR40" s="23" t="str">
        <f aca="false">IFERROR(V40/(U40+V40)*100,"")</f>
        <v/>
      </c>
      <c r="AS40" s="24" t="str">
        <f aca="false">IFERROR(AI40/K40,"")</f>
        <v/>
      </c>
      <c r="AT40" s="24" t="str">
        <f aca="false">IFERROR(IF(AN40="","",AN40*T40/3600),"")</f>
        <v/>
      </c>
      <c r="AU40" s="25" t="str">
        <f aca="false">IFERROR(X40/(AN40*T40),"")</f>
        <v/>
      </c>
      <c r="AV40" s="25" t="str">
        <f aca="false">IFERROR(AN40*T40/3600/X40*1000,"")</f>
        <v/>
      </c>
      <c r="AW40" s="26" t="str">
        <f aca="false">IFERROR(Cost_Model!$B$21*K40*T40/3600/X40*1000000,"")</f>
        <v/>
      </c>
      <c r="AX40" s="27" t="str">
        <f aca="false">IF(ISNUMBER(Z40),IF(Z40&lt;=Run_Config!$B$31,"PASS","FAIL"),"")</f>
        <v/>
      </c>
      <c r="AY40" s="27" t="str">
        <f aca="false">IF(ISNUMBER(AH40),IF(AH40&gt;=Run_Config!$B$33,"PASS","FAIL"),"")</f>
        <v/>
      </c>
    </row>
    <row r="41" customFormat="false" ht="15" hidden="false" customHeight="false" outlineLevel="0" collapsed="false">
      <c r="AR41" s="23" t="str">
        <f aca="false">IFERROR(V41/(U41+V41)*100,"")</f>
        <v/>
      </c>
      <c r="AS41" s="24" t="str">
        <f aca="false">IFERROR(AI41/K41,"")</f>
        <v/>
      </c>
      <c r="AT41" s="24" t="str">
        <f aca="false">IFERROR(IF(AN41="","",AN41*T41/3600),"")</f>
        <v/>
      </c>
      <c r="AU41" s="25" t="str">
        <f aca="false">IFERROR(X41/(AN41*T41),"")</f>
        <v/>
      </c>
      <c r="AV41" s="25" t="str">
        <f aca="false">IFERROR(AN41*T41/3600/X41*1000,"")</f>
        <v/>
      </c>
      <c r="AW41" s="26" t="str">
        <f aca="false">IFERROR(Cost_Model!$B$21*K41*T41/3600/X41*1000000,"")</f>
        <v/>
      </c>
      <c r="AX41" s="27" t="str">
        <f aca="false">IF(ISNUMBER(Z41),IF(Z41&lt;=Run_Config!$B$31,"PASS","FAIL"),"")</f>
        <v/>
      </c>
      <c r="AY41" s="27" t="str">
        <f aca="false">IF(ISNUMBER(AH41),IF(AH41&gt;=Run_Config!$B$33,"PASS","FAIL"),"")</f>
        <v/>
      </c>
    </row>
    <row r="42" customFormat="false" ht="15" hidden="false" customHeight="false" outlineLevel="0" collapsed="false">
      <c r="AR42" s="23" t="str">
        <f aca="false">IFERROR(V42/(U42+V42)*100,"")</f>
        <v/>
      </c>
      <c r="AS42" s="24" t="str">
        <f aca="false">IFERROR(AI42/K42,"")</f>
        <v/>
      </c>
      <c r="AT42" s="24" t="str">
        <f aca="false">IFERROR(IF(AN42="","",AN42*T42/3600),"")</f>
        <v/>
      </c>
      <c r="AU42" s="25" t="str">
        <f aca="false">IFERROR(X42/(AN42*T42),"")</f>
        <v/>
      </c>
      <c r="AV42" s="25" t="str">
        <f aca="false">IFERROR(AN42*T42/3600/X42*1000,"")</f>
        <v/>
      </c>
      <c r="AW42" s="26" t="str">
        <f aca="false">IFERROR(Cost_Model!$B$21*K42*T42/3600/X42*1000000,"")</f>
        <v/>
      </c>
      <c r="AX42" s="27" t="str">
        <f aca="false">IF(ISNUMBER(Z42),IF(Z42&lt;=Run_Config!$B$31,"PASS","FAIL"),"")</f>
        <v/>
      </c>
      <c r="AY42" s="27" t="str">
        <f aca="false">IF(ISNUMBER(AH42),IF(AH42&gt;=Run_Config!$B$33,"PASS","FAIL"),"")</f>
        <v/>
      </c>
    </row>
    <row r="43" customFormat="false" ht="15" hidden="false" customHeight="false" outlineLevel="0" collapsed="false">
      <c r="AR43" s="23" t="str">
        <f aca="false">IFERROR(V43/(U43+V43)*100,"")</f>
        <v/>
      </c>
      <c r="AS43" s="24" t="str">
        <f aca="false">IFERROR(AI43/K43,"")</f>
        <v/>
      </c>
      <c r="AT43" s="24" t="str">
        <f aca="false">IFERROR(IF(AN43="","",AN43*T43/3600),"")</f>
        <v/>
      </c>
      <c r="AU43" s="25" t="str">
        <f aca="false">IFERROR(X43/(AN43*T43),"")</f>
        <v/>
      </c>
      <c r="AV43" s="25" t="str">
        <f aca="false">IFERROR(AN43*T43/3600/X43*1000,"")</f>
        <v/>
      </c>
      <c r="AW43" s="26" t="str">
        <f aca="false">IFERROR(Cost_Model!$B$21*K43*T43/3600/X43*1000000,"")</f>
        <v/>
      </c>
      <c r="AX43" s="27" t="str">
        <f aca="false">IF(ISNUMBER(Z43),IF(Z43&lt;=Run_Config!$B$31,"PASS","FAIL"),"")</f>
        <v/>
      </c>
      <c r="AY43" s="27" t="str">
        <f aca="false">IF(ISNUMBER(AH43),IF(AH43&gt;=Run_Config!$B$33,"PASS","FAIL"),"")</f>
        <v/>
      </c>
    </row>
    <row r="44" customFormat="false" ht="15" hidden="false" customHeight="false" outlineLevel="0" collapsed="false">
      <c r="AR44" s="23" t="str">
        <f aca="false">IFERROR(V44/(U44+V44)*100,"")</f>
        <v/>
      </c>
      <c r="AS44" s="24" t="str">
        <f aca="false">IFERROR(AI44/K44,"")</f>
        <v/>
      </c>
      <c r="AT44" s="24" t="str">
        <f aca="false">IFERROR(IF(AN44="","",AN44*T44/3600),"")</f>
        <v/>
      </c>
      <c r="AU44" s="25" t="str">
        <f aca="false">IFERROR(X44/(AN44*T44),"")</f>
        <v/>
      </c>
      <c r="AV44" s="25" t="str">
        <f aca="false">IFERROR(AN44*T44/3600/X44*1000,"")</f>
        <v/>
      </c>
      <c r="AW44" s="26" t="str">
        <f aca="false">IFERROR(Cost_Model!$B$21*K44*T44/3600/X44*1000000,"")</f>
        <v/>
      </c>
      <c r="AX44" s="27" t="str">
        <f aca="false">IF(ISNUMBER(Z44),IF(Z44&lt;=Run_Config!$B$31,"PASS","FAIL"),"")</f>
        <v/>
      </c>
      <c r="AY44" s="27" t="str">
        <f aca="false">IF(ISNUMBER(AH44),IF(AH44&gt;=Run_Config!$B$33,"PASS","FAIL"),"")</f>
        <v/>
      </c>
    </row>
    <row r="45" customFormat="false" ht="15" hidden="false" customHeight="false" outlineLevel="0" collapsed="false">
      <c r="AR45" s="23" t="str">
        <f aca="false">IFERROR(V45/(U45+V45)*100,"")</f>
        <v/>
      </c>
      <c r="AS45" s="24" t="str">
        <f aca="false">IFERROR(AI45/K45,"")</f>
        <v/>
      </c>
      <c r="AT45" s="24" t="str">
        <f aca="false">IFERROR(IF(AN45="","",AN45*T45/3600),"")</f>
        <v/>
      </c>
      <c r="AU45" s="25" t="str">
        <f aca="false">IFERROR(X45/(AN45*T45),"")</f>
        <v/>
      </c>
      <c r="AV45" s="25" t="str">
        <f aca="false">IFERROR(AN45*T45/3600/X45*1000,"")</f>
        <v/>
      </c>
      <c r="AW45" s="26" t="str">
        <f aca="false">IFERROR(Cost_Model!$B$21*K45*T45/3600/X45*1000000,"")</f>
        <v/>
      </c>
      <c r="AX45" s="27" t="str">
        <f aca="false">IF(ISNUMBER(Z45),IF(Z45&lt;=Run_Config!$B$31,"PASS","FAIL"),"")</f>
        <v/>
      </c>
      <c r="AY45" s="27" t="str">
        <f aca="false">IF(ISNUMBER(AH45),IF(AH45&gt;=Run_Config!$B$33,"PASS","FAIL"),"")</f>
        <v/>
      </c>
    </row>
    <row r="46" customFormat="false" ht="15" hidden="false" customHeight="false" outlineLevel="0" collapsed="false">
      <c r="AR46" s="23" t="str">
        <f aca="false">IFERROR(V46/(U46+V46)*100,"")</f>
        <v/>
      </c>
      <c r="AS46" s="24" t="str">
        <f aca="false">IFERROR(AI46/K46,"")</f>
        <v/>
      </c>
      <c r="AT46" s="24" t="str">
        <f aca="false">IFERROR(IF(AN46="","",AN46*T46/3600),"")</f>
        <v/>
      </c>
      <c r="AU46" s="25" t="str">
        <f aca="false">IFERROR(X46/(AN46*T46),"")</f>
        <v/>
      </c>
      <c r="AV46" s="25" t="str">
        <f aca="false">IFERROR(AN46*T46/3600/X46*1000,"")</f>
        <v/>
      </c>
      <c r="AW46" s="26" t="str">
        <f aca="false">IFERROR(Cost_Model!$B$21*K46*T46/3600/X46*1000000,"")</f>
        <v/>
      </c>
      <c r="AX46" s="27" t="str">
        <f aca="false">IF(ISNUMBER(Z46),IF(Z46&lt;=Run_Config!$B$31,"PASS","FAIL"),"")</f>
        <v/>
      </c>
      <c r="AY46" s="27" t="str">
        <f aca="false">IF(ISNUMBER(AH46),IF(AH46&gt;=Run_Config!$B$33,"PASS","FAIL"),"")</f>
        <v/>
      </c>
    </row>
    <row r="47" customFormat="false" ht="15" hidden="false" customHeight="false" outlineLevel="0" collapsed="false">
      <c r="AR47" s="23" t="str">
        <f aca="false">IFERROR(V47/(U47+V47)*100,"")</f>
        <v/>
      </c>
      <c r="AS47" s="24" t="str">
        <f aca="false">IFERROR(AI47/K47,"")</f>
        <v/>
      </c>
      <c r="AT47" s="24" t="str">
        <f aca="false">IFERROR(IF(AN47="","",AN47*T47/3600),"")</f>
        <v/>
      </c>
      <c r="AU47" s="25" t="str">
        <f aca="false">IFERROR(X47/(AN47*T47),"")</f>
        <v/>
      </c>
      <c r="AV47" s="25" t="str">
        <f aca="false">IFERROR(AN47*T47/3600/X47*1000,"")</f>
        <v/>
      </c>
      <c r="AW47" s="26" t="str">
        <f aca="false">IFERROR(Cost_Model!$B$21*K47*T47/3600/X47*1000000,"")</f>
        <v/>
      </c>
      <c r="AX47" s="27" t="str">
        <f aca="false">IF(ISNUMBER(Z47),IF(Z47&lt;=Run_Config!$B$31,"PASS","FAIL"),"")</f>
        <v/>
      </c>
      <c r="AY47" s="27" t="str">
        <f aca="false">IF(ISNUMBER(AH47),IF(AH47&gt;=Run_Config!$B$33,"PASS","FAIL"),"")</f>
        <v/>
      </c>
    </row>
    <row r="48" customFormat="false" ht="15" hidden="false" customHeight="false" outlineLevel="0" collapsed="false">
      <c r="AR48" s="23" t="str">
        <f aca="false">IFERROR(V48/(U48+V48)*100,"")</f>
        <v/>
      </c>
      <c r="AS48" s="24" t="str">
        <f aca="false">IFERROR(AI48/K48,"")</f>
        <v/>
      </c>
      <c r="AT48" s="24" t="str">
        <f aca="false">IFERROR(IF(AN48="","",AN48*T48/3600),"")</f>
        <v/>
      </c>
      <c r="AU48" s="25" t="str">
        <f aca="false">IFERROR(X48/(AN48*T48),"")</f>
        <v/>
      </c>
      <c r="AV48" s="25" t="str">
        <f aca="false">IFERROR(AN48*T48/3600/X48*1000,"")</f>
        <v/>
      </c>
      <c r="AW48" s="26" t="str">
        <f aca="false">IFERROR(Cost_Model!$B$21*K48*T48/3600/X48*1000000,"")</f>
        <v/>
      </c>
      <c r="AX48" s="27" t="str">
        <f aca="false">IF(ISNUMBER(Z48),IF(Z48&lt;=Run_Config!$B$31,"PASS","FAIL"),"")</f>
        <v/>
      </c>
      <c r="AY48" s="27" t="str">
        <f aca="false">IF(ISNUMBER(AH48),IF(AH48&gt;=Run_Config!$B$33,"PASS","FAIL"),"")</f>
        <v/>
      </c>
    </row>
    <row r="49" customFormat="false" ht="15" hidden="false" customHeight="false" outlineLevel="0" collapsed="false">
      <c r="AR49" s="23" t="str">
        <f aca="false">IFERROR(V49/(U49+V49)*100,"")</f>
        <v/>
      </c>
      <c r="AS49" s="24" t="str">
        <f aca="false">IFERROR(AI49/K49,"")</f>
        <v/>
      </c>
      <c r="AT49" s="24" t="str">
        <f aca="false">IFERROR(IF(AN49="","",AN49*T49/3600),"")</f>
        <v/>
      </c>
      <c r="AU49" s="25" t="str">
        <f aca="false">IFERROR(X49/(AN49*T49),"")</f>
        <v/>
      </c>
      <c r="AV49" s="25" t="str">
        <f aca="false">IFERROR(AN49*T49/3600/X49*1000,"")</f>
        <v/>
      </c>
      <c r="AW49" s="26" t="str">
        <f aca="false">IFERROR(Cost_Model!$B$21*K49*T49/3600/X49*1000000,"")</f>
        <v/>
      </c>
      <c r="AX49" s="27" t="str">
        <f aca="false">IF(ISNUMBER(Z49),IF(Z49&lt;=Run_Config!$B$31,"PASS","FAIL"),"")</f>
        <v/>
      </c>
      <c r="AY49" s="27" t="str">
        <f aca="false">IF(ISNUMBER(AH49),IF(AH49&gt;=Run_Config!$B$33,"PASS","FAIL"),"")</f>
        <v/>
      </c>
    </row>
    <row r="50" customFormat="false" ht="15" hidden="false" customHeight="false" outlineLevel="0" collapsed="false">
      <c r="AR50" s="23" t="str">
        <f aca="false">IFERROR(V50/(U50+V50)*100,"")</f>
        <v/>
      </c>
      <c r="AS50" s="24" t="str">
        <f aca="false">IFERROR(AI50/K50,"")</f>
        <v/>
      </c>
      <c r="AT50" s="24" t="str">
        <f aca="false">IFERROR(IF(AN50="","",AN50*T50/3600),"")</f>
        <v/>
      </c>
      <c r="AU50" s="25" t="str">
        <f aca="false">IFERROR(X50/(AN50*T50),"")</f>
        <v/>
      </c>
      <c r="AV50" s="25" t="str">
        <f aca="false">IFERROR(AN50*T50/3600/X50*1000,"")</f>
        <v/>
      </c>
      <c r="AW50" s="26" t="str">
        <f aca="false">IFERROR(Cost_Model!$B$21*K50*T50/3600/X50*1000000,"")</f>
        <v/>
      </c>
      <c r="AX50" s="27" t="str">
        <f aca="false">IF(ISNUMBER(Z50),IF(Z50&lt;=Run_Config!$B$31,"PASS","FAIL"),"")</f>
        <v/>
      </c>
      <c r="AY50" s="27" t="str">
        <f aca="false">IF(ISNUMBER(AH50),IF(AH50&gt;=Run_Config!$B$33,"PASS","FAIL"),"")</f>
        <v/>
      </c>
    </row>
    <row r="51" customFormat="false" ht="15" hidden="false" customHeight="false" outlineLevel="0" collapsed="false">
      <c r="AR51" s="23" t="str">
        <f aca="false">IFERROR(V51/(U51+V51)*100,"")</f>
        <v/>
      </c>
      <c r="AS51" s="24" t="str">
        <f aca="false">IFERROR(AI51/K51,"")</f>
        <v/>
      </c>
      <c r="AT51" s="24" t="str">
        <f aca="false">IFERROR(IF(AN51="","",AN51*T51/3600),"")</f>
        <v/>
      </c>
      <c r="AU51" s="25" t="str">
        <f aca="false">IFERROR(X51/(AN51*T51),"")</f>
        <v/>
      </c>
      <c r="AV51" s="25" t="str">
        <f aca="false">IFERROR(AN51*T51/3600/X51*1000,"")</f>
        <v/>
      </c>
      <c r="AW51" s="26" t="str">
        <f aca="false">IFERROR(Cost_Model!$B$21*K51*T51/3600/X51*1000000,"")</f>
        <v/>
      </c>
      <c r="AX51" s="27" t="str">
        <f aca="false">IF(ISNUMBER(Z51),IF(Z51&lt;=Run_Config!$B$31,"PASS","FAIL"),"")</f>
        <v/>
      </c>
      <c r="AY51" s="27" t="str">
        <f aca="false">IF(ISNUMBER(AH51),IF(AH51&gt;=Run_Config!$B$33,"PASS","FAIL"),"")</f>
        <v/>
      </c>
    </row>
    <row r="52" customFormat="false" ht="15" hidden="false" customHeight="false" outlineLevel="0" collapsed="false">
      <c r="AR52" s="23" t="str">
        <f aca="false">IFERROR(V52/(U52+V52)*100,"")</f>
        <v/>
      </c>
      <c r="AS52" s="24" t="str">
        <f aca="false">IFERROR(AI52/K52,"")</f>
        <v/>
      </c>
      <c r="AT52" s="24" t="str">
        <f aca="false">IFERROR(IF(AN52="","",AN52*T52/3600),"")</f>
        <v/>
      </c>
      <c r="AU52" s="25" t="str">
        <f aca="false">IFERROR(X52/(AN52*T52),"")</f>
        <v/>
      </c>
      <c r="AV52" s="25" t="str">
        <f aca="false">IFERROR(AN52*T52/3600/X52*1000,"")</f>
        <v/>
      </c>
      <c r="AW52" s="26" t="str">
        <f aca="false">IFERROR(Cost_Model!$B$21*K52*T52/3600/X52*1000000,"")</f>
        <v/>
      </c>
      <c r="AX52" s="27" t="str">
        <f aca="false">IF(ISNUMBER(Z52),IF(Z52&lt;=Run_Config!$B$31,"PASS","FAIL"),"")</f>
        <v/>
      </c>
      <c r="AY52" s="27" t="str">
        <f aca="false">IF(ISNUMBER(AH52),IF(AH52&gt;=Run_Config!$B$33,"PASS","FAIL"),"")</f>
        <v/>
      </c>
    </row>
    <row r="53" customFormat="false" ht="15" hidden="false" customHeight="false" outlineLevel="0" collapsed="false">
      <c r="AR53" s="23" t="str">
        <f aca="false">IFERROR(V53/(U53+V53)*100,"")</f>
        <v/>
      </c>
      <c r="AS53" s="24" t="str">
        <f aca="false">IFERROR(AI53/K53,"")</f>
        <v/>
      </c>
      <c r="AT53" s="24" t="str">
        <f aca="false">IFERROR(IF(AN53="","",AN53*T53/3600),"")</f>
        <v/>
      </c>
      <c r="AU53" s="25" t="str">
        <f aca="false">IFERROR(X53/(AN53*T53),"")</f>
        <v/>
      </c>
      <c r="AV53" s="25" t="str">
        <f aca="false">IFERROR(AN53*T53/3600/X53*1000,"")</f>
        <v/>
      </c>
      <c r="AW53" s="26" t="str">
        <f aca="false">IFERROR(Cost_Model!$B$21*K53*T53/3600/X53*1000000,"")</f>
        <v/>
      </c>
      <c r="AX53" s="27" t="str">
        <f aca="false">IF(ISNUMBER(Z53),IF(Z53&lt;=Run_Config!$B$31,"PASS","FAIL"),"")</f>
        <v/>
      </c>
      <c r="AY53" s="27" t="str">
        <f aca="false">IF(ISNUMBER(AH53),IF(AH53&gt;=Run_Config!$B$33,"PASS","FAIL"),"")</f>
        <v/>
      </c>
    </row>
    <row r="54" customFormat="false" ht="15" hidden="false" customHeight="false" outlineLevel="0" collapsed="false">
      <c r="AR54" s="23" t="str">
        <f aca="false">IFERROR(V54/(U54+V54)*100,"")</f>
        <v/>
      </c>
      <c r="AS54" s="24" t="str">
        <f aca="false">IFERROR(AI54/K54,"")</f>
        <v/>
      </c>
      <c r="AT54" s="24" t="str">
        <f aca="false">IFERROR(IF(AN54="","",AN54*T54/3600),"")</f>
        <v/>
      </c>
      <c r="AU54" s="25" t="str">
        <f aca="false">IFERROR(X54/(AN54*T54),"")</f>
        <v/>
      </c>
      <c r="AV54" s="25" t="str">
        <f aca="false">IFERROR(AN54*T54/3600/X54*1000,"")</f>
        <v/>
      </c>
      <c r="AW54" s="26" t="str">
        <f aca="false">IFERROR(Cost_Model!$B$21*K54*T54/3600/X54*1000000,"")</f>
        <v/>
      </c>
      <c r="AX54" s="27" t="str">
        <f aca="false">IF(ISNUMBER(Z54),IF(Z54&lt;=Run_Config!$B$31,"PASS","FAIL"),"")</f>
        <v/>
      </c>
      <c r="AY54" s="27" t="str">
        <f aca="false">IF(ISNUMBER(AH54),IF(AH54&gt;=Run_Config!$B$33,"PASS","FAIL"),"")</f>
        <v/>
      </c>
    </row>
    <row r="55" customFormat="false" ht="15" hidden="false" customHeight="false" outlineLevel="0" collapsed="false">
      <c r="AR55" s="23" t="str">
        <f aca="false">IFERROR(V55/(U55+V55)*100,"")</f>
        <v/>
      </c>
      <c r="AS55" s="24" t="str">
        <f aca="false">IFERROR(AI55/K55,"")</f>
        <v/>
      </c>
      <c r="AT55" s="24" t="str">
        <f aca="false">IFERROR(IF(AN55="","",AN55*T55/3600),"")</f>
        <v/>
      </c>
      <c r="AU55" s="25" t="str">
        <f aca="false">IFERROR(X55/(AN55*T55),"")</f>
        <v/>
      </c>
      <c r="AV55" s="25" t="str">
        <f aca="false">IFERROR(AN55*T55/3600/X55*1000,"")</f>
        <v/>
      </c>
      <c r="AW55" s="26" t="str">
        <f aca="false">IFERROR(Cost_Model!$B$21*K55*T55/3600/X55*1000000,"")</f>
        <v/>
      </c>
      <c r="AX55" s="27" t="str">
        <f aca="false">IF(ISNUMBER(Z55),IF(Z55&lt;=Run_Config!$B$31,"PASS","FAIL"),"")</f>
        <v/>
      </c>
      <c r="AY55" s="27" t="str">
        <f aca="false">IF(ISNUMBER(AH55),IF(AH55&gt;=Run_Config!$B$33,"PASS","FAIL"),"")</f>
        <v/>
      </c>
    </row>
    <row r="56" customFormat="false" ht="15" hidden="false" customHeight="false" outlineLevel="0" collapsed="false">
      <c r="AR56" s="23" t="str">
        <f aca="false">IFERROR(V56/(U56+V56)*100,"")</f>
        <v/>
      </c>
      <c r="AS56" s="24" t="str">
        <f aca="false">IFERROR(AI56/K56,"")</f>
        <v/>
      </c>
      <c r="AT56" s="24" t="str">
        <f aca="false">IFERROR(IF(AN56="","",AN56*T56/3600),"")</f>
        <v/>
      </c>
      <c r="AU56" s="25" t="str">
        <f aca="false">IFERROR(X56/(AN56*T56),"")</f>
        <v/>
      </c>
      <c r="AV56" s="25" t="str">
        <f aca="false">IFERROR(AN56*T56/3600/X56*1000,"")</f>
        <v/>
      </c>
      <c r="AW56" s="26" t="str">
        <f aca="false">IFERROR(Cost_Model!$B$21*K56*T56/3600/X56*1000000,"")</f>
        <v/>
      </c>
      <c r="AX56" s="27" t="str">
        <f aca="false">IF(ISNUMBER(Z56),IF(Z56&lt;=Run_Config!$B$31,"PASS","FAIL"),"")</f>
        <v/>
      </c>
      <c r="AY56" s="27" t="str">
        <f aca="false">IF(ISNUMBER(AH56),IF(AH56&gt;=Run_Config!$B$33,"PASS","FAIL"),"")</f>
        <v/>
      </c>
    </row>
    <row r="57" customFormat="false" ht="15" hidden="false" customHeight="false" outlineLevel="0" collapsed="false">
      <c r="AR57" s="23" t="str">
        <f aca="false">IFERROR(V57/(U57+V57)*100,"")</f>
        <v/>
      </c>
      <c r="AS57" s="24" t="str">
        <f aca="false">IFERROR(AI57/K57,"")</f>
        <v/>
      </c>
      <c r="AT57" s="24" t="str">
        <f aca="false">IFERROR(IF(AN57="","",AN57*T57/3600),"")</f>
        <v/>
      </c>
      <c r="AU57" s="25" t="str">
        <f aca="false">IFERROR(X57/(AN57*T57),"")</f>
        <v/>
      </c>
      <c r="AV57" s="25" t="str">
        <f aca="false">IFERROR(AN57*T57/3600/X57*1000,"")</f>
        <v/>
      </c>
      <c r="AW57" s="26" t="str">
        <f aca="false">IFERROR(Cost_Model!$B$21*K57*T57/3600/X57*1000000,"")</f>
        <v/>
      </c>
      <c r="AX57" s="27" t="str">
        <f aca="false">IF(ISNUMBER(Z57),IF(Z57&lt;=Run_Config!$B$31,"PASS","FAIL"),"")</f>
        <v/>
      </c>
      <c r="AY57" s="27" t="str">
        <f aca="false">IF(ISNUMBER(AH57),IF(AH57&gt;=Run_Config!$B$33,"PASS","FAIL"),"")</f>
        <v/>
      </c>
    </row>
    <row r="58" customFormat="false" ht="15" hidden="false" customHeight="false" outlineLevel="0" collapsed="false">
      <c r="AR58" s="23" t="str">
        <f aca="false">IFERROR(V58/(U58+V58)*100,"")</f>
        <v/>
      </c>
      <c r="AS58" s="24" t="str">
        <f aca="false">IFERROR(AI58/K58,"")</f>
        <v/>
      </c>
      <c r="AT58" s="24" t="str">
        <f aca="false">IFERROR(IF(AN58="","",AN58*T58/3600),"")</f>
        <v/>
      </c>
      <c r="AU58" s="25" t="str">
        <f aca="false">IFERROR(X58/(AN58*T58),"")</f>
        <v/>
      </c>
      <c r="AV58" s="25" t="str">
        <f aca="false">IFERROR(AN58*T58/3600/X58*1000,"")</f>
        <v/>
      </c>
      <c r="AW58" s="26" t="str">
        <f aca="false">IFERROR(Cost_Model!$B$21*K58*T58/3600/X58*1000000,"")</f>
        <v/>
      </c>
      <c r="AX58" s="27" t="str">
        <f aca="false">IF(ISNUMBER(Z58),IF(Z58&lt;=Run_Config!$B$31,"PASS","FAIL"),"")</f>
        <v/>
      </c>
      <c r="AY58" s="27" t="str">
        <f aca="false">IF(ISNUMBER(AH58),IF(AH58&gt;=Run_Config!$B$33,"PASS","FAIL"),"")</f>
        <v/>
      </c>
    </row>
    <row r="59" customFormat="false" ht="15" hidden="false" customHeight="false" outlineLevel="0" collapsed="false">
      <c r="AR59" s="23" t="str">
        <f aca="false">IFERROR(V59/(U59+V59)*100,"")</f>
        <v/>
      </c>
      <c r="AS59" s="24" t="str">
        <f aca="false">IFERROR(AI59/K59,"")</f>
        <v/>
      </c>
      <c r="AT59" s="24" t="str">
        <f aca="false">IFERROR(IF(AN59="","",AN59*T59/3600),"")</f>
        <v/>
      </c>
      <c r="AU59" s="25" t="str">
        <f aca="false">IFERROR(X59/(AN59*T59),"")</f>
        <v/>
      </c>
      <c r="AV59" s="25" t="str">
        <f aca="false">IFERROR(AN59*T59/3600/X59*1000,"")</f>
        <v/>
      </c>
      <c r="AW59" s="26" t="str">
        <f aca="false">IFERROR(Cost_Model!$B$21*K59*T59/3600/X59*1000000,"")</f>
        <v/>
      </c>
      <c r="AX59" s="27" t="str">
        <f aca="false">IF(ISNUMBER(Z59),IF(Z59&lt;=Run_Config!$B$31,"PASS","FAIL"),"")</f>
        <v/>
      </c>
      <c r="AY59" s="27" t="str">
        <f aca="false">IF(ISNUMBER(AH59),IF(AH59&gt;=Run_Config!$B$33,"PASS","FAIL"),"")</f>
        <v/>
      </c>
    </row>
    <row r="60" customFormat="false" ht="15" hidden="false" customHeight="false" outlineLevel="0" collapsed="false">
      <c r="AR60" s="23" t="str">
        <f aca="false">IFERROR(V60/(U60+V60)*100,"")</f>
        <v/>
      </c>
      <c r="AS60" s="24" t="str">
        <f aca="false">IFERROR(AI60/K60,"")</f>
        <v/>
      </c>
      <c r="AT60" s="24" t="str">
        <f aca="false">IFERROR(IF(AN60="","",AN60*T60/3600),"")</f>
        <v/>
      </c>
      <c r="AU60" s="25" t="str">
        <f aca="false">IFERROR(X60/(AN60*T60),"")</f>
        <v/>
      </c>
      <c r="AV60" s="25" t="str">
        <f aca="false">IFERROR(AN60*T60/3600/X60*1000,"")</f>
        <v/>
      </c>
      <c r="AW60" s="26" t="str">
        <f aca="false">IFERROR(Cost_Model!$B$21*K60*T60/3600/X60*1000000,"")</f>
        <v/>
      </c>
      <c r="AX60" s="27" t="str">
        <f aca="false">IF(ISNUMBER(Z60),IF(Z60&lt;=Run_Config!$B$31,"PASS","FAIL"),"")</f>
        <v/>
      </c>
      <c r="AY60" s="27" t="str">
        <f aca="false">IF(ISNUMBER(AH60),IF(AH60&gt;=Run_Config!$B$33,"PASS","FAIL"),"")</f>
        <v/>
      </c>
    </row>
    <row r="61" customFormat="false" ht="15" hidden="false" customHeight="false" outlineLevel="0" collapsed="false">
      <c r="AR61" s="23" t="str">
        <f aca="false">IFERROR(V61/(U61+V61)*100,"")</f>
        <v/>
      </c>
      <c r="AS61" s="24" t="str">
        <f aca="false">IFERROR(AI61/K61,"")</f>
        <v/>
      </c>
      <c r="AT61" s="24" t="str">
        <f aca="false">IFERROR(IF(AN61="","",AN61*T61/3600),"")</f>
        <v/>
      </c>
      <c r="AU61" s="25" t="str">
        <f aca="false">IFERROR(X61/(AN61*T61),"")</f>
        <v/>
      </c>
      <c r="AV61" s="25" t="str">
        <f aca="false">IFERROR(AN61*T61/3600/X61*1000,"")</f>
        <v/>
      </c>
      <c r="AW61" s="26" t="str">
        <f aca="false">IFERROR(Cost_Model!$B$21*K61*T61/3600/X61*1000000,"")</f>
        <v/>
      </c>
      <c r="AX61" s="27" t="str">
        <f aca="false">IF(ISNUMBER(Z61),IF(Z61&lt;=Run_Config!$B$31,"PASS","FAIL"),"")</f>
        <v/>
      </c>
      <c r="AY61" s="27" t="str">
        <f aca="false">IF(ISNUMBER(AH61),IF(AH61&gt;=Run_Config!$B$33,"PASS","FAIL"),"")</f>
        <v/>
      </c>
    </row>
    <row r="62" customFormat="false" ht="15" hidden="false" customHeight="false" outlineLevel="0" collapsed="false">
      <c r="AR62" s="23" t="str">
        <f aca="false">IFERROR(V62/(U62+V62)*100,"")</f>
        <v/>
      </c>
      <c r="AS62" s="24" t="str">
        <f aca="false">IFERROR(AI62/K62,"")</f>
        <v/>
      </c>
      <c r="AT62" s="24" t="str">
        <f aca="false">IFERROR(IF(AN62="","",AN62*T62/3600),"")</f>
        <v/>
      </c>
      <c r="AU62" s="25" t="str">
        <f aca="false">IFERROR(X62/(AN62*T62),"")</f>
        <v/>
      </c>
      <c r="AV62" s="25" t="str">
        <f aca="false">IFERROR(AN62*T62/3600/X62*1000,"")</f>
        <v/>
      </c>
      <c r="AW62" s="26" t="str">
        <f aca="false">IFERROR(Cost_Model!$B$21*K62*T62/3600/X62*1000000,"")</f>
        <v/>
      </c>
      <c r="AX62" s="27" t="str">
        <f aca="false">IF(ISNUMBER(Z62),IF(Z62&lt;=Run_Config!$B$31,"PASS","FAIL"),"")</f>
        <v/>
      </c>
      <c r="AY62" s="27" t="str">
        <f aca="false">IF(ISNUMBER(AH62),IF(AH62&gt;=Run_Config!$B$33,"PASS","FAIL"),"")</f>
        <v/>
      </c>
    </row>
    <row r="63" customFormat="false" ht="15" hidden="false" customHeight="false" outlineLevel="0" collapsed="false">
      <c r="AR63" s="23" t="str">
        <f aca="false">IFERROR(V63/(U63+V63)*100,"")</f>
        <v/>
      </c>
      <c r="AS63" s="24" t="str">
        <f aca="false">IFERROR(AI63/K63,"")</f>
        <v/>
      </c>
      <c r="AT63" s="24" t="str">
        <f aca="false">IFERROR(IF(AN63="","",AN63*T63/3600),"")</f>
        <v/>
      </c>
      <c r="AU63" s="25" t="str">
        <f aca="false">IFERROR(X63/(AN63*T63),"")</f>
        <v/>
      </c>
      <c r="AV63" s="25" t="str">
        <f aca="false">IFERROR(AN63*T63/3600/X63*1000,"")</f>
        <v/>
      </c>
      <c r="AW63" s="26" t="str">
        <f aca="false">IFERROR(Cost_Model!$B$21*K63*T63/3600/X63*1000000,"")</f>
        <v/>
      </c>
      <c r="AX63" s="27" t="str">
        <f aca="false">IF(ISNUMBER(Z63),IF(Z63&lt;=Run_Config!$B$31,"PASS","FAIL"),"")</f>
        <v/>
      </c>
      <c r="AY63" s="27" t="str">
        <f aca="false">IF(ISNUMBER(AH63),IF(AH63&gt;=Run_Config!$B$33,"PASS","FAIL"),"")</f>
        <v/>
      </c>
    </row>
    <row r="64" customFormat="false" ht="15" hidden="false" customHeight="false" outlineLevel="0" collapsed="false">
      <c r="AR64" s="23" t="str">
        <f aca="false">IFERROR(V64/(U64+V64)*100,"")</f>
        <v/>
      </c>
      <c r="AS64" s="24" t="str">
        <f aca="false">IFERROR(AI64/K64,"")</f>
        <v/>
      </c>
      <c r="AT64" s="24" t="str">
        <f aca="false">IFERROR(IF(AN64="","",AN64*T64/3600),"")</f>
        <v/>
      </c>
      <c r="AU64" s="25" t="str">
        <f aca="false">IFERROR(X64/(AN64*T64),"")</f>
        <v/>
      </c>
      <c r="AV64" s="25" t="str">
        <f aca="false">IFERROR(AN64*T64/3600/X64*1000,"")</f>
        <v/>
      </c>
      <c r="AW64" s="26" t="str">
        <f aca="false">IFERROR(Cost_Model!$B$21*K64*T64/3600/X64*1000000,"")</f>
        <v/>
      </c>
      <c r="AX64" s="27" t="str">
        <f aca="false">IF(ISNUMBER(Z64),IF(Z64&lt;=Run_Config!$B$31,"PASS","FAIL"),"")</f>
        <v/>
      </c>
      <c r="AY64" s="27" t="str">
        <f aca="false">IF(ISNUMBER(AH64),IF(AH64&gt;=Run_Config!$B$33,"PASS","FAIL"),"")</f>
        <v/>
      </c>
    </row>
    <row r="65" customFormat="false" ht="15" hidden="false" customHeight="false" outlineLevel="0" collapsed="false">
      <c r="AR65" s="23" t="str">
        <f aca="false">IFERROR(V65/(U65+V65)*100,"")</f>
        <v/>
      </c>
      <c r="AS65" s="24" t="str">
        <f aca="false">IFERROR(AI65/K65,"")</f>
        <v/>
      </c>
      <c r="AT65" s="24" t="str">
        <f aca="false">IFERROR(IF(AN65="","",AN65*T65/3600),"")</f>
        <v/>
      </c>
      <c r="AU65" s="25" t="str">
        <f aca="false">IFERROR(X65/(AN65*T65),"")</f>
        <v/>
      </c>
      <c r="AV65" s="25" t="str">
        <f aca="false">IFERROR(AN65*T65/3600/X65*1000,"")</f>
        <v/>
      </c>
      <c r="AW65" s="26" t="str">
        <f aca="false">IFERROR(Cost_Model!$B$21*K65*T65/3600/X65*1000000,"")</f>
        <v/>
      </c>
      <c r="AX65" s="27" t="str">
        <f aca="false">IF(ISNUMBER(Z65),IF(Z65&lt;=Run_Config!$B$31,"PASS","FAIL"),"")</f>
        <v/>
      </c>
      <c r="AY65" s="27" t="str">
        <f aca="false">IF(ISNUMBER(AH65),IF(AH65&gt;=Run_Config!$B$33,"PASS","FAIL"),"")</f>
        <v/>
      </c>
    </row>
    <row r="66" customFormat="false" ht="15" hidden="false" customHeight="false" outlineLevel="0" collapsed="false">
      <c r="AR66" s="23" t="str">
        <f aca="false">IFERROR(V66/(U66+V66)*100,"")</f>
        <v/>
      </c>
      <c r="AS66" s="24" t="str">
        <f aca="false">IFERROR(AI66/K66,"")</f>
        <v/>
      </c>
      <c r="AT66" s="24" t="str">
        <f aca="false">IFERROR(IF(AN66="","",AN66*T66/3600),"")</f>
        <v/>
      </c>
      <c r="AU66" s="25" t="str">
        <f aca="false">IFERROR(X66/(AN66*T66),"")</f>
        <v/>
      </c>
      <c r="AV66" s="25" t="str">
        <f aca="false">IFERROR(AN66*T66/3600/X66*1000,"")</f>
        <v/>
      </c>
      <c r="AW66" s="26" t="str">
        <f aca="false">IFERROR(Cost_Model!$B$21*K66*T66/3600/X66*1000000,"")</f>
        <v/>
      </c>
      <c r="AX66" s="27" t="str">
        <f aca="false">IF(ISNUMBER(Z66),IF(Z66&lt;=Run_Config!$B$31,"PASS","FAIL"),"")</f>
        <v/>
      </c>
      <c r="AY66" s="27" t="str">
        <f aca="false">IF(ISNUMBER(AH66),IF(AH66&gt;=Run_Config!$B$33,"PASS","FAIL"),"")</f>
        <v/>
      </c>
    </row>
    <row r="67" customFormat="false" ht="15" hidden="false" customHeight="false" outlineLevel="0" collapsed="false">
      <c r="AR67" s="23" t="str">
        <f aca="false">IFERROR(V67/(U67+V67)*100,"")</f>
        <v/>
      </c>
      <c r="AS67" s="24" t="str">
        <f aca="false">IFERROR(AI67/K67,"")</f>
        <v/>
      </c>
      <c r="AT67" s="24" t="str">
        <f aca="false">IFERROR(IF(AN67="","",AN67*T67/3600),"")</f>
        <v/>
      </c>
      <c r="AU67" s="25" t="str">
        <f aca="false">IFERROR(X67/(AN67*T67),"")</f>
        <v/>
      </c>
      <c r="AV67" s="25" t="str">
        <f aca="false">IFERROR(AN67*T67/3600/X67*1000,"")</f>
        <v/>
      </c>
      <c r="AW67" s="26" t="str">
        <f aca="false">IFERROR(Cost_Model!$B$21*K67*T67/3600/X67*1000000,"")</f>
        <v/>
      </c>
      <c r="AX67" s="27" t="str">
        <f aca="false">IF(ISNUMBER(Z67),IF(Z67&lt;=Run_Config!$B$31,"PASS","FAIL"),"")</f>
        <v/>
      </c>
      <c r="AY67" s="27" t="str">
        <f aca="false">IF(ISNUMBER(AH67),IF(AH67&gt;=Run_Config!$B$33,"PASS","FAIL"),"")</f>
        <v/>
      </c>
    </row>
    <row r="68" customFormat="false" ht="15" hidden="false" customHeight="false" outlineLevel="0" collapsed="false">
      <c r="AR68" s="23" t="str">
        <f aca="false">IFERROR(V68/(U68+V68)*100,"")</f>
        <v/>
      </c>
      <c r="AS68" s="24" t="str">
        <f aca="false">IFERROR(AI68/K68,"")</f>
        <v/>
      </c>
      <c r="AT68" s="24" t="str">
        <f aca="false">IFERROR(IF(AN68="","",AN68*T68/3600),"")</f>
        <v/>
      </c>
      <c r="AU68" s="25" t="str">
        <f aca="false">IFERROR(X68/(AN68*T68),"")</f>
        <v/>
      </c>
      <c r="AV68" s="25" t="str">
        <f aca="false">IFERROR(AN68*T68/3600/X68*1000,"")</f>
        <v/>
      </c>
      <c r="AW68" s="26" t="str">
        <f aca="false">IFERROR(Cost_Model!$B$21*K68*T68/3600/X68*1000000,"")</f>
        <v/>
      </c>
      <c r="AX68" s="27" t="str">
        <f aca="false">IF(ISNUMBER(Z68),IF(Z68&lt;=Run_Config!$B$31,"PASS","FAIL"),"")</f>
        <v/>
      </c>
      <c r="AY68" s="27" t="str">
        <f aca="false">IF(ISNUMBER(AH68),IF(AH68&gt;=Run_Config!$B$33,"PASS","FAIL"),"")</f>
        <v/>
      </c>
    </row>
    <row r="69" customFormat="false" ht="15" hidden="false" customHeight="false" outlineLevel="0" collapsed="false">
      <c r="AR69" s="23" t="str">
        <f aca="false">IFERROR(V69/(U69+V69)*100,"")</f>
        <v/>
      </c>
      <c r="AS69" s="24" t="str">
        <f aca="false">IFERROR(AI69/K69,"")</f>
        <v/>
      </c>
      <c r="AT69" s="24" t="str">
        <f aca="false">IFERROR(IF(AN69="","",AN69*T69/3600),"")</f>
        <v/>
      </c>
      <c r="AU69" s="25" t="str">
        <f aca="false">IFERROR(X69/(AN69*T69),"")</f>
        <v/>
      </c>
      <c r="AV69" s="25" t="str">
        <f aca="false">IFERROR(AN69*T69/3600/X69*1000,"")</f>
        <v/>
      </c>
      <c r="AW69" s="26" t="str">
        <f aca="false">IFERROR(Cost_Model!$B$21*K69*T69/3600/X69*1000000,"")</f>
        <v/>
      </c>
      <c r="AX69" s="27" t="str">
        <f aca="false">IF(ISNUMBER(Z69),IF(Z69&lt;=Run_Config!$B$31,"PASS","FAIL"),"")</f>
        <v/>
      </c>
      <c r="AY69" s="27" t="str">
        <f aca="false">IF(ISNUMBER(AH69),IF(AH69&gt;=Run_Config!$B$33,"PASS","FAIL"),"")</f>
        <v/>
      </c>
    </row>
    <row r="70" customFormat="false" ht="15" hidden="false" customHeight="false" outlineLevel="0" collapsed="false">
      <c r="AR70" s="23" t="str">
        <f aca="false">IFERROR(V70/(U70+V70)*100,"")</f>
        <v/>
      </c>
      <c r="AS70" s="24" t="str">
        <f aca="false">IFERROR(AI70/K70,"")</f>
        <v/>
      </c>
      <c r="AT70" s="24" t="str">
        <f aca="false">IFERROR(IF(AN70="","",AN70*T70/3600),"")</f>
        <v/>
      </c>
      <c r="AU70" s="25" t="str">
        <f aca="false">IFERROR(X70/(AN70*T70),"")</f>
        <v/>
      </c>
      <c r="AV70" s="25" t="str">
        <f aca="false">IFERROR(AN70*T70/3600/X70*1000,"")</f>
        <v/>
      </c>
      <c r="AW70" s="26" t="str">
        <f aca="false">IFERROR(Cost_Model!$B$21*K70*T70/3600/X70*1000000,"")</f>
        <v/>
      </c>
      <c r="AX70" s="27" t="str">
        <f aca="false">IF(ISNUMBER(Z70),IF(Z70&lt;=Run_Config!$B$31,"PASS","FAIL"),"")</f>
        <v/>
      </c>
      <c r="AY70" s="27" t="str">
        <f aca="false">IF(ISNUMBER(AH70),IF(AH70&gt;=Run_Config!$B$33,"PASS","FAIL"),"")</f>
        <v/>
      </c>
    </row>
    <row r="71" customFormat="false" ht="15" hidden="false" customHeight="false" outlineLevel="0" collapsed="false">
      <c r="AR71" s="23" t="str">
        <f aca="false">IFERROR(V71/(U71+V71)*100,"")</f>
        <v/>
      </c>
      <c r="AS71" s="24" t="str">
        <f aca="false">IFERROR(AI71/K71,"")</f>
        <v/>
      </c>
      <c r="AT71" s="24" t="str">
        <f aca="false">IFERROR(IF(AN71="","",AN71*T71/3600),"")</f>
        <v/>
      </c>
      <c r="AU71" s="25" t="str">
        <f aca="false">IFERROR(X71/(AN71*T71),"")</f>
        <v/>
      </c>
      <c r="AV71" s="25" t="str">
        <f aca="false">IFERROR(AN71*T71/3600/X71*1000,"")</f>
        <v/>
      </c>
      <c r="AW71" s="26" t="str">
        <f aca="false">IFERROR(Cost_Model!$B$21*K71*T71/3600/X71*1000000,"")</f>
        <v/>
      </c>
      <c r="AX71" s="27" t="str">
        <f aca="false">IF(ISNUMBER(Z71),IF(Z71&lt;=Run_Config!$B$31,"PASS","FAIL"),"")</f>
        <v/>
      </c>
      <c r="AY71" s="27" t="str">
        <f aca="false">IF(ISNUMBER(AH71),IF(AH71&gt;=Run_Config!$B$33,"PASS","FAIL"),"")</f>
        <v/>
      </c>
    </row>
    <row r="72" customFormat="false" ht="15" hidden="false" customHeight="false" outlineLevel="0" collapsed="false">
      <c r="AR72" s="23" t="str">
        <f aca="false">IFERROR(V72/(U72+V72)*100,"")</f>
        <v/>
      </c>
      <c r="AS72" s="24" t="str">
        <f aca="false">IFERROR(AI72/K72,"")</f>
        <v/>
      </c>
      <c r="AT72" s="24" t="str">
        <f aca="false">IFERROR(IF(AN72="","",AN72*T72/3600),"")</f>
        <v/>
      </c>
      <c r="AU72" s="25" t="str">
        <f aca="false">IFERROR(X72/(AN72*T72),"")</f>
        <v/>
      </c>
      <c r="AV72" s="25" t="str">
        <f aca="false">IFERROR(AN72*T72/3600/X72*1000,"")</f>
        <v/>
      </c>
      <c r="AW72" s="26" t="str">
        <f aca="false">IFERROR(Cost_Model!$B$21*K72*T72/3600/X72*1000000,"")</f>
        <v/>
      </c>
      <c r="AX72" s="27" t="str">
        <f aca="false">IF(ISNUMBER(Z72),IF(Z72&lt;=Run_Config!$B$31,"PASS","FAIL"),"")</f>
        <v/>
      </c>
      <c r="AY72" s="27" t="str">
        <f aca="false">IF(ISNUMBER(AH72),IF(AH72&gt;=Run_Config!$B$33,"PASS","FAIL"),"")</f>
        <v/>
      </c>
    </row>
    <row r="73" customFormat="false" ht="15" hidden="false" customHeight="false" outlineLevel="0" collapsed="false">
      <c r="AR73" s="23" t="str">
        <f aca="false">IFERROR(V73/(U73+V73)*100,"")</f>
        <v/>
      </c>
      <c r="AS73" s="24" t="str">
        <f aca="false">IFERROR(AI73/K73,"")</f>
        <v/>
      </c>
      <c r="AT73" s="24" t="str">
        <f aca="false">IFERROR(IF(AN73="","",AN73*T73/3600),"")</f>
        <v/>
      </c>
      <c r="AU73" s="25" t="str">
        <f aca="false">IFERROR(X73/(AN73*T73),"")</f>
        <v/>
      </c>
      <c r="AV73" s="25" t="str">
        <f aca="false">IFERROR(AN73*T73/3600/X73*1000,"")</f>
        <v/>
      </c>
      <c r="AW73" s="26" t="str">
        <f aca="false">IFERROR(Cost_Model!$B$21*K73*T73/3600/X73*1000000,"")</f>
        <v/>
      </c>
      <c r="AX73" s="27" t="str">
        <f aca="false">IF(ISNUMBER(Z73),IF(Z73&lt;=Run_Config!$B$31,"PASS","FAIL"),"")</f>
        <v/>
      </c>
      <c r="AY73" s="27" t="str">
        <f aca="false">IF(ISNUMBER(AH73),IF(AH73&gt;=Run_Config!$B$33,"PASS","FAIL"),"")</f>
        <v/>
      </c>
    </row>
    <row r="74" customFormat="false" ht="15" hidden="false" customHeight="false" outlineLevel="0" collapsed="false">
      <c r="AR74" s="23" t="str">
        <f aca="false">IFERROR(V74/(U74+V74)*100,"")</f>
        <v/>
      </c>
      <c r="AS74" s="24" t="str">
        <f aca="false">IFERROR(AI74/K74,"")</f>
        <v/>
      </c>
      <c r="AT74" s="24" t="str">
        <f aca="false">IFERROR(IF(AN74="","",AN74*T74/3600),"")</f>
        <v/>
      </c>
      <c r="AU74" s="25" t="str">
        <f aca="false">IFERROR(X74/(AN74*T74),"")</f>
        <v/>
      </c>
      <c r="AV74" s="25" t="str">
        <f aca="false">IFERROR(AN74*T74/3600/X74*1000,"")</f>
        <v/>
      </c>
      <c r="AW74" s="26" t="str">
        <f aca="false">IFERROR(Cost_Model!$B$21*K74*T74/3600/X74*1000000,"")</f>
        <v/>
      </c>
      <c r="AX74" s="27" t="str">
        <f aca="false">IF(ISNUMBER(Z74),IF(Z74&lt;=Run_Config!$B$31,"PASS","FAIL"),"")</f>
        <v/>
      </c>
      <c r="AY74" s="27" t="str">
        <f aca="false">IF(ISNUMBER(AH74),IF(AH74&gt;=Run_Config!$B$33,"PASS","FAIL"),"")</f>
        <v/>
      </c>
    </row>
    <row r="75" customFormat="false" ht="15" hidden="false" customHeight="false" outlineLevel="0" collapsed="false">
      <c r="AR75" s="23" t="str">
        <f aca="false">IFERROR(V75/(U75+V75)*100,"")</f>
        <v/>
      </c>
      <c r="AS75" s="24" t="str">
        <f aca="false">IFERROR(AI75/K75,"")</f>
        <v/>
      </c>
      <c r="AT75" s="24" t="str">
        <f aca="false">IFERROR(IF(AN75="","",AN75*T75/3600),"")</f>
        <v/>
      </c>
      <c r="AU75" s="25" t="str">
        <f aca="false">IFERROR(X75/(AN75*T75),"")</f>
        <v/>
      </c>
      <c r="AV75" s="25" t="str">
        <f aca="false">IFERROR(AN75*T75/3600/X75*1000,"")</f>
        <v/>
      </c>
      <c r="AW75" s="26" t="str">
        <f aca="false">IFERROR(Cost_Model!$B$21*K75*T75/3600/X75*1000000,"")</f>
        <v/>
      </c>
      <c r="AX75" s="27" t="str">
        <f aca="false">IF(ISNUMBER(Z75),IF(Z75&lt;=Run_Config!$B$31,"PASS","FAIL"),"")</f>
        <v/>
      </c>
      <c r="AY75" s="27" t="str">
        <f aca="false">IF(ISNUMBER(AH75),IF(AH75&gt;=Run_Config!$B$33,"PASS","FAIL"),"")</f>
        <v/>
      </c>
    </row>
    <row r="76" customFormat="false" ht="15" hidden="false" customHeight="false" outlineLevel="0" collapsed="false">
      <c r="AR76" s="23" t="str">
        <f aca="false">IFERROR(V76/(U76+V76)*100,"")</f>
        <v/>
      </c>
      <c r="AS76" s="24" t="str">
        <f aca="false">IFERROR(AI76/K76,"")</f>
        <v/>
      </c>
      <c r="AT76" s="24" t="str">
        <f aca="false">IFERROR(IF(AN76="","",AN76*T76/3600),"")</f>
        <v/>
      </c>
      <c r="AU76" s="25" t="str">
        <f aca="false">IFERROR(X76/(AN76*T76),"")</f>
        <v/>
      </c>
      <c r="AV76" s="25" t="str">
        <f aca="false">IFERROR(AN76*T76/3600/X76*1000,"")</f>
        <v/>
      </c>
      <c r="AW76" s="26" t="str">
        <f aca="false">IFERROR(Cost_Model!$B$21*K76*T76/3600/X76*1000000,"")</f>
        <v/>
      </c>
      <c r="AX76" s="27" t="str">
        <f aca="false">IF(ISNUMBER(Z76),IF(Z76&lt;=Run_Config!$B$31,"PASS","FAIL"),"")</f>
        <v/>
      </c>
      <c r="AY76" s="27" t="str">
        <f aca="false">IF(ISNUMBER(AH76),IF(AH76&gt;=Run_Config!$B$33,"PASS","FAIL"),"")</f>
        <v/>
      </c>
    </row>
    <row r="77" customFormat="false" ht="15" hidden="false" customHeight="false" outlineLevel="0" collapsed="false">
      <c r="AR77" s="23" t="str">
        <f aca="false">IFERROR(V77/(U77+V77)*100,"")</f>
        <v/>
      </c>
      <c r="AS77" s="24" t="str">
        <f aca="false">IFERROR(AI77/K77,"")</f>
        <v/>
      </c>
      <c r="AT77" s="24" t="str">
        <f aca="false">IFERROR(IF(AN77="","",AN77*T77/3600),"")</f>
        <v/>
      </c>
      <c r="AU77" s="25" t="str">
        <f aca="false">IFERROR(X77/(AN77*T77),"")</f>
        <v/>
      </c>
      <c r="AV77" s="25" t="str">
        <f aca="false">IFERROR(AN77*T77/3600/X77*1000,"")</f>
        <v/>
      </c>
      <c r="AW77" s="26" t="str">
        <f aca="false">IFERROR(Cost_Model!$B$21*K77*T77/3600/X77*1000000,"")</f>
        <v/>
      </c>
      <c r="AX77" s="27" t="str">
        <f aca="false">IF(ISNUMBER(Z77),IF(Z77&lt;=Run_Config!$B$31,"PASS","FAIL"),"")</f>
        <v/>
      </c>
      <c r="AY77" s="27" t="str">
        <f aca="false">IF(ISNUMBER(AH77),IF(AH77&gt;=Run_Config!$B$33,"PASS","FAIL"),"")</f>
        <v/>
      </c>
    </row>
    <row r="78" customFormat="false" ht="15" hidden="false" customHeight="false" outlineLevel="0" collapsed="false">
      <c r="AR78" s="23" t="str">
        <f aca="false">IFERROR(V78/(U78+V78)*100,"")</f>
        <v/>
      </c>
      <c r="AS78" s="24" t="str">
        <f aca="false">IFERROR(AI78/K78,"")</f>
        <v/>
      </c>
      <c r="AT78" s="24" t="str">
        <f aca="false">IFERROR(IF(AN78="","",AN78*T78/3600),"")</f>
        <v/>
      </c>
      <c r="AU78" s="25" t="str">
        <f aca="false">IFERROR(X78/(AN78*T78),"")</f>
        <v/>
      </c>
      <c r="AV78" s="25" t="str">
        <f aca="false">IFERROR(AN78*T78/3600/X78*1000,"")</f>
        <v/>
      </c>
      <c r="AW78" s="26" t="str">
        <f aca="false">IFERROR(Cost_Model!$B$21*K78*T78/3600/X78*1000000,"")</f>
        <v/>
      </c>
      <c r="AX78" s="27" t="str">
        <f aca="false">IF(ISNUMBER(Z78),IF(Z78&lt;=Run_Config!$B$31,"PASS","FAIL"),"")</f>
        <v/>
      </c>
      <c r="AY78" s="27" t="str">
        <f aca="false">IF(ISNUMBER(AH78),IF(AH78&gt;=Run_Config!$B$33,"PASS","FAIL"),"")</f>
        <v/>
      </c>
    </row>
    <row r="79" customFormat="false" ht="15" hidden="false" customHeight="false" outlineLevel="0" collapsed="false">
      <c r="AR79" s="23" t="str">
        <f aca="false">IFERROR(V79/(U79+V79)*100,"")</f>
        <v/>
      </c>
      <c r="AS79" s="24" t="str">
        <f aca="false">IFERROR(AI79/K79,"")</f>
        <v/>
      </c>
      <c r="AT79" s="24" t="str">
        <f aca="false">IFERROR(IF(AN79="","",AN79*T79/3600),"")</f>
        <v/>
      </c>
      <c r="AU79" s="25" t="str">
        <f aca="false">IFERROR(X79/(AN79*T79),"")</f>
        <v/>
      </c>
      <c r="AV79" s="25" t="str">
        <f aca="false">IFERROR(AN79*T79/3600/X79*1000,"")</f>
        <v/>
      </c>
      <c r="AW79" s="26" t="str">
        <f aca="false">IFERROR(Cost_Model!$B$21*K79*T79/3600/X79*1000000,"")</f>
        <v/>
      </c>
      <c r="AX79" s="27" t="str">
        <f aca="false">IF(ISNUMBER(Z79),IF(Z79&lt;=Run_Config!$B$31,"PASS","FAIL"),"")</f>
        <v/>
      </c>
      <c r="AY79" s="27" t="str">
        <f aca="false">IF(ISNUMBER(AH79),IF(AH79&gt;=Run_Config!$B$33,"PASS","FAIL"),"")</f>
        <v/>
      </c>
    </row>
    <row r="80" customFormat="false" ht="15" hidden="false" customHeight="false" outlineLevel="0" collapsed="false">
      <c r="AR80" s="23" t="str">
        <f aca="false">IFERROR(V80/(U80+V80)*100,"")</f>
        <v/>
      </c>
      <c r="AS80" s="24" t="str">
        <f aca="false">IFERROR(AI80/K80,"")</f>
        <v/>
      </c>
      <c r="AT80" s="24" t="str">
        <f aca="false">IFERROR(IF(AN80="","",AN80*T80/3600),"")</f>
        <v/>
      </c>
      <c r="AU80" s="25" t="str">
        <f aca="false">IFERROR(X80/(AN80*T80),"")</f>
        <v/>
      </c>
      <c r="AV80" s="25" t="str">
        <f aca="false">IFERROR(AN80*T80/3600/X80*1000,"")</f>
        <v/>
      </c>
      <c r="AW80" s="26" t="str">
        <f aca="false">IFERROR(Cost_Model!$B$21*K80*T80/3600/X80*1000000,"")</f>
        <v/>
      </c>
      <c r="AX80" s="27" t="str">
        <f aca="false">IF(ISNUMBER(Z80),IF(Z80&lt;=Run_Config!$B$31,"PASS","FAIL"),"")</f>
        <v/>
      </c>
      <c r="AY80" s="27" t="str">
        <f aca="false">IF(ISNUMBER(AH80),IF(AH80&gt;=Run_Config!$B$33,"PASS","FAIL"),"")</f>
        <v/>
      </c>
    </row>
    <row r="81" customFormat="false" ht="15" hidden="false" customHeight="false" outlineLevel="0" collapsed="false">
      <c r="AR81" s="23" t="str">
        <f aca="false">IFERROR(V81/(U81+V81)*100,"")</f>
        <v/>
      </c>
      <c r="AS81" s="24" t="str">
        <f aca="false">IFERROR(AI81/K81,"")</f>
        <v/>
      </c>
      <c r="AT81" s="24" t="str">
        <f aca="false">IFERROR(IF(AN81="","",AN81*T81/3600),"")</f>
        <v/>
      </c>
      <c r="AU81" s="25" t="str">
        <f aca="false">IFERROR(X81/(AN81*T81),"")</f>
        <v/>
      </c>
      <c r="AV81" s="25" t="str">
        <f aca="false">IFERROR(AN81*T81/3600/X81*1000,"")</f>
        <v/>
      </c>
      <c r="AW81" s="26" t="str">
        <f aca="false">IFERROR(Cost_Model!$B$21*K81*T81/3600/X81*1000000,"")</f>
        <v/>
      </c>
      <c r="AX81" s="27" t="str">
        <f aca="false">IF(ISNUMBER(Z81),IF(Z81&lt;=Run_Config!$B$31,"PASS","FAIL"),"")</f>
        <v/>
      </c>
      <c r="AY81" s="27" t="str">
        <f aca="false">IF(ISNUMBER(AH81),IF(AH81&gt;=Run_Config!$B$33,"PASS","FAIL"),"")</f>
        <v/>
      </c>
    </row>
    <row r="82" customFormat="false" ht="15" hidden="false" customHeight="false" outlineLevel="0" collapsed="false">
      <c r="AR82" s="23" t="str">
        <f aca="false">IFERROR(V82/(U82+V82)*100,"")</f>
        <v/>
      </c>
      <c r="AS82" s="24" t="str">
        <f aca="false">IFERROR(AI82/K82,"")</f>
        <v/>
      </c>
      <c r="AT82" s="24" t="str">
        <f aca="false">IFERROR(IF(AN82="","",AN82*T82/3600),"")</f>
        <v/>
      </c>
      <c r="AU82" s="25" t="str">
        <f aca="false">IFERROR(X82/(AN82*T82),"")</f>
        <v/>
      </c>
      <c r="AV82" s="25" t="str">
        <f aca="false">IFERROR(AN82*T82/3600/X82*1000,"")</f>
        <v/>
      </c>
      <c r="AW82" s="26" t="str">
        <f aca="false">IFERROR(Cost_Model!$B$21*K82*T82/3600/X82*1000000,"")</f>
        <v/>
      </c>
      <c r="AX82" s="27" t="str">
        <f aca="false">IF(ISNUMBER(Z82),IF(Z82&lt;=Run_Config!$B$31,"PASS","FAIL"),"")</f>
        <v/>
      </c>
      <c r="AY82" s="27" t="str">
        <f aca="false">IF(ISNUMBER(AH82),IF(AH82&gt;=Run_Config!$B$33,"PASS","FAIL"),"")</f>
        <v/>
      </c>
    </row>
    <row r="83" customFormat="false" ht="15" hidden="false" customHeight="false" outlineLevel="0" collapsed="false">
      <c r="AR83" s="23" t="str">
        <f aca="false">IFERROR(V83/(U83+V83)*100,"")</f>
        <v/>
      </c>
      <c r="AS83" s="24" t="str">
        <f aca="false">IFERROR(AI83/K83,"")</f>
        <v/>
      </c>
      <c r="AT83" s="24" t="str">
        <f aca="false">IFERROR(IF(AN83="","",AN83*T83/3600),"")</f>
        <v/>
      </c>
      <c r="AU83" s="25" t="str">
        <f aca="false">IFERROR(X83/(AN83*T83),"")</f>
        <v/>
      </c>
      <c r="AV83" s="25" t="str">
        <f aca="false">IFERROR(AN83*T83/3600/X83*1000,"")</f>
        <v/>
      </c>
      <c r="AW83" s="26" t="str">
        <f aca="false">IFERROR(Cost_Model!$B$21*K83*T83/3600/X83*1000000,"")</f>
        <v/>
      </c>
      <c r="AX83" s="27" t="str">
        <f aca="false">IF(ISNUMBER(Z83),IF(Z83&lt;=Run_Config!$B$31,"PASS","FAIL"),"")</f>
        <v/>
      </c>
      <c r="AY83" s="27" t="str">
        <f aca="false">IF(ISNUMBER(AH83),IF(AH83&gt;=Run_Config!$B$33,"PASS","FAIL"),"")</f>
        <v/>
      </c>
    </row>
    <row r="84" customFormat="false" ht="15" hidden="false" customHeight="false" outlineLevel="0" collapsed="false">
      <c r="AR84" s="23" t="str">
        <f aca="false">IFERROR(V84/(U84+V84)*100,"")</f>
        <v/>
      </c>
      <c r="AS84" s="24" t="str">
        <f aca="false">IFERROR(AI84/K84,"")</f>
        <v/>
      </c>
      <c r="AT84" s="24" t="str">
        <f aca="false">IFERROR(IF(AN84="","",AN84*T84/3600),"")</f>
        <v/>
      </c>
      <c r="AU84" s="25" t="str">
        <f aca="false">IFERROR(X84/(AN84*T84),"")</f>
        <v/>
      </c>
      <c r="AV84" s="25" t="str">
        <f aca="false">IFERROR(AN84*T84/3600/X84*1000,"")</f>
        <v/>
      </c>
      <c r="AW84" s="26" t="str">
        <f aca="false">IFERROR(Cost_Model!$B$21*K84*T84/3600/X84*1000000,"")</f>
        <v/>
      </c>
      <c r="AX84" s="27" t="str">
        <f aca="false">IF(ISNUMBER(Z84),IF(Z84&lt;=Run_Config!$B$31,"PASS","FAIL"),"")</f>
        <v/>
      </c>
      <c r="AY84" s="27" t="str">
        <f aca="false">IF(ISNUMBER(AH84),IF(AH84&gt;=Run_Config!$B$33,"PASS","FAIL"),"")</f>
        <v/>
      </c>
    </row>
    <row r="85" customFormat="false" ht="15" hidden="false" customHeight="false" outlineLevel="0" collapsed="false">
      <c r="AR85" s="23" t="str">
        <f aca="false">IFERROR(V85/(U85+V85)*100,"")</f>
        <v/>
      </c>
      <c r="AS85" s="24" t="str">
        <f aca="false">IFERROR(AI85/K85,"")</f>
        <v/>
      </c>
      <c r="AT85" s="24" t="str">
        <f aca="false">IFERROR(IF(AN85="","",AN85*T85/3600),"")</f>
        <v/>
      </c>
      <c r="AU85" s="25" t="str">
        <f aca="false">IFERROR(X85/(AN85*T85),"")</f>
        <v/>
      </c>
      <c r="AV85" s="25" t="str">
        <f aca="false">IFERROR(AN85*T85/3600/X85*1000,"")</f>
        <v/>
      </c>
      <c r="AW85" s="26" t="str">
        <f aca="false">IFERROR(Cost_Model!$B$21*K85*T85/3600/X85*1000000,"")</f>
        <v/>
      </c>
      <c r="AX85" s="27" t="str">
        <f aca="false">IF(ISNUMBER(Z85),IF(Z85&lt;=Run_Config!$B$31,"PASS","FAIL"),"")</f>
        <v/>
      </c>
      <c r="AY85" s="27" t="str">
        <f aca="false">IF(ISNUMBER(AH85),IF(AH85&gt;=Run_Config!$B$33,"PASS","FAIL"),"")</f>
        <v/>
      </c>
    </row>
    <row r="86" customFormat="false" ht="15" hidden="false" customHeight="false" outlineLevel="0" collapsed="false">
      <c r="AR86" s="23" t="str">
        <f aca="false">IFERROR(V86/(U86+V86)*100,"")</f>
        <v/>
      </c>
      <c r="AS86" s="24" t="str">
        <f aca="false">IFERROR(AI86/K86,"")</f>
        <v/>
      </c>
      <c r="AT86" s="24" t="str">
        <f aca="false">IFERROR(IF(AN86="","",AN86*T86/3600),"")</f>
        <v/>
      </c>
      <c r="AU86" s="25" t="str">
        <f aca="false">IFERROR(X86/(AN86*T86),"")</f>
        <v/>
      </c>
      <c r="AV86" s="25" t="str">
        <f aca="false">IFERROR(AN86*T86/3600/X86*1000,"")</f>
        <v/>
      </c>
      <c r="AW86" s="26" t="str">
        <f aca="false">IFERROR(Cost_Model!$B$21*K86*T86/3600/X86*1000000,"")</f>
        <v/>
      </c>
      <c r="AX86" s="27" t="str">
        <f aca="false">IF(ISNUMBER(Z86),IF(Z86&lt;=Run_Config!$B$31,"PASS","FAIL"),"")</f>
        <v/>
      </c>
      <c r="AY86" s="27" t="str">
        <f aca="false">IF(ISNUMBER(AH86),IF(AH86&gt;=Run_Config!$B$33,"PASS","FAIL"),"")</f>
        <v/>
      </c>
    </row>
    <row r="87" customFormat="false" ht="15" hidden="false" customHeight="false" outlineLevel="0" collapsed="false">
      <c r="AR87" s="23" t="str">
        <f aca="false">IFERROR(V87/(U87+V87)*100,"")</f>
        <v/>
      </c>
      <c r="AS87" s="24" t="str">
        <f aca="false">IFERROR(AI87/K87,"")</f>
        <v/>
      </c>
      <c r="AT87" s="24" t="str">
        <f aca="false">IFERROR(IF(AN87="","",AN87*T87/3600),"")</f>
        <v/>
      </c>
      <c r="AU87" s="25" t="str">
        <f aca="false">IFERROR(X87/(AN87*T87),"")</f>
        <v/>
      </c>
      <c r="AV87" s="25" t="str">
        <f aca="false">IFERROR(AN87*T87/3600/X87*1000,"")</f>
        <v/>
      </c>
      <c r="AW87" s="26" t="str">
        <f aca="false">IFERROR(Cost_Model!$B$21*K87*T87/3600/X87*1000000,"")</f>
        <v/>
      </c>
      <c r="AX87" s="27" t="str">
        <f aca="false">IF(ISNUMBER(Z87),IF(Z87&lt;=Run_Config!$B$31,"PASS","FAIL"),"")</f>
        <v/>
      </c>
      <c r="AY87" s="27" t="str">
        <f aca="false">IF(ISNUMBER(AH87),IF(AH87&gt;=Run_Config!$B$33,"PASS","FAIL"),"")</f>
        <v/>
      </c>
    </row>
    <row r="88" customFormat="false" ht="15" hidden="false" customHeight="false" outlineLevel="0" collapsed="false">
      <c r="AR88" s="23" t="str">
        <f aca="false">IFERROR(V88/(U88+V88)*100,"")</f>
        <v/>
      </c>
      <c r="AS88" s="24" t="str">
        <f aca="false">IFERROR(AI88/K88,"")</f>
        <v/>
      </c>
      <c r="AT88" s="24" t="str">
        <f aca="false">IFERROR(IF(AN88="","",AN88*T88/3600),"")</f>
        <v/>
      </c>
      <c r="AU88" s="25" t="str">
        <f aca="false">IFERROR(X88/(AN88*T88),"")</f>
        <v/>
      </c>
      <c r="AV88" s="25" t="str">
        <f aca="false">IFERROR(AN88*T88/3600/X88*1000,"")</f>
        <v/>
      </c>
      <c r="AW88" s="26" t="str">
        <f aca="false">IFERROR(Cost_Model!$B$21*K88*T88/3600/X88*1000000,"")</f>
        <v/>
      </c>
      <c r="AX88" s="27" t="str">
        <f aca="false">IF(ISNUMBER(Z88),IF(Z88&lt;=Run_Config!$B$31,"PASS","FAIL"),"")</f>
        <v/>
      </c>
      <c r="AY88" s="27" t="str">
        <f aca="false">IF(ISNUMBER(AH88),IF(AH88&gt;=Run_Config!$B$33,"PASS","FAIL"),"")</f>
        <v/>
      </c>
    </row>
    <row r="89" customFormat="false" ht="15" hidden="false" customHeight="false" outlineLevel="0" collapsed="false">
      <c r="AR89" s="23" t="str">
        <f aca="false">IFERROR(V89/(U89+V89)*100,"")</f>
        <v/>
      </c>
      <c r="AS89" s="24" t="str">
        <f aca="false">IFERROR(AI89/K89,"")</f>
        <v/>
      </c>
      <c r="AT89" s="24" t="str">
        <f aca="false">IFERROR(IF(AN89="","",AN89*T89/3600),"")</f>
        <v/>
      </c>
      <c r="AU89" s="25" t="str">
        <f aca="false">IFERROR(X89/(AN89*T89),"")</f>
        <v/>
      </c>
      <c r="AV89" s="25" t="str">
        <f aca="false">IFERROR(AN89*T89/3600/X89*1000,"")</f>
        <v/>
      </c>
      <c r="AW89" s="26" t="str">
        <f aca="false">IFERROR(Cost_Model!$B$21*K89*T89/3600/X89*1000000,"")</f>
        <v/>
      </c>
      <c r="AX89" s="27" t="str">
        <f aca="false">IF(ISNUMBER(Z89),IF(Z89&lt;=Run_Config!$B$31,"PASS","FAIL"),"")</f>
        <v/>
      </c>
      <c r="AY89" s="27" t="str">
        <f aca="false">IF(ISNUMBER(AH89),IF(AH89&gt;=Run_Config!$B$33,"PASS","FAIL"),"")</f>
        <v/>
      </c>
    </row>
    <row r="90" customFormat="false" ht="15" hidden="false" customHeight="false" outlineLevel="0" collapsed="false">
      <c r="AR90" s="23" t="str">
        <f aca="false">IFERROR(V90/(U90+V90)*100,"")</f>
        <v/>
      </c>
      <c r="AS90" s="24" t="str">
        <f aca="false">IFERROR(AI90/K90,"")</f>
        <v/>
      </c>
      <c r="AT90" s="24" t="str">
        <f aca="false">IFERROR(IF(AN90="","",AN90*T90/3600),"")</f>
        <v/>
      </c>
      <c r="AU90" s="25" t="str">
        <f aca="false">IFERROR(X90/(AN90*T90),"")</f>
        <v/>
      </c>
      <c r="AV90" s="25" t="str">
        <f aca="false">IFERROR(AN90*T90/3600/X90*1000,"")</f>
        <v/>
      </c>
      <c r="AW90" s="26" t="str">
        <f aca="false">IFERROR(Cost_Model!$B$21*K90*T90/3600/X90*1000000,"")</f>
        <v/>
      </c>
      <c r="AX90" s="27" t="str">
        <f aca="false">IF(ISNUMBER(Z90),IF(Z90&lt;=Run_Config!$B$31,"PASS","FAIL"),"")</f>
        <v/>
      </c>
      <c r="AY90" s="27" t="str">
        <f aca="false">IF(ISNUMBER(AH90),IF(AH90&gt;=Run_Config!$B$33,"PASS","FAIL"),"")</f>
        <v/>
      </c>
    </row>
    <row r="91" customFormat="false" ht="15" hidden="false" customHeight="false" outlineLevel="0" collapsed="false">
      <c r="AR91" s="23" t="str">
        <f aca="false">IFERROR(V91/(U91+V91)*100,"")</f>
        <v/>
      </c>
      <c r="AS91" s="24" t="str">
        <f aca="false">IFERROR(AI91/K91,"")</f>
        <v/>
      </c>
      <c r="AT91" s="24" t="str">
        <f aca="false">IFERROR(IF(AN91="","",AN91*T91/3600),"")</f>
        <v/>
      </c>
      <c r="AU91" s="25" t="str">
        <f aca="false">IFERROR(X91/(AN91*T91),"")</f>
        <v/>
      </c>
      <c r="AV91" s="25" t="str">
        <f aca="false">IFERROR(AN91*T91/3600/X91*1000,"")</f>
        <v/>
      </c>
      <c r="AW91" s="26" t="str">
        <f aca="false">IFERROR(Cost_Model!$B$21*K91*T91/3600/X91*1000000,"")</f>
        <v/>
      </c>
      <c r="AX91" s="27" t="str">
        <f aca="false">IF(ISNUMBER(Z91),IF(Z91&lt;=Run_Config!$B$31,"PASS","FAIL"),"")</f>
        <v/>
      </c>
      <c r="AY91" s="27" t="str">
        <f aca="false">IF(ISNUMBER(AH91),IF(AH91&gt;=Run_Config!$B$33,"PASS","FAIL"),"")</f>
        <v/>
      </c>
    </row>
    <row r="92" customFormat="false" ht="15" hidden="false" customHeight="false" outlineLevel="0" collapsed="false">
      <c r="AR92" s="23" t="str">
        <f aca="false">IFERROR(V92/(U92+V92)*100,"")</f>
        <v/>
      </c>
      <c r="AS92" s="24" t="str">
        <f aca="false">IFERROR(AI92/K92,"")</f>
        <v/>
      </c>
      <c r="AT92" s="24" t="str">
        <f aca="false">IFERROR(IF(AN92="","",AN92*T92/3600),"")</f>
        <v/>
      </c>
      <c r="AU92" s="25" t="str">
        <f aca="false">IFERROR(X92/(AN92*T92),"")</f>
        <v/>
      </c>
      <c r="AV92" s="25" t="str">
        <f aca="false">IFERROR(AN92*T92/3600/X92*1000,"")</f>
        <v/>
      </c>
      <c r="AW92" s="26" t="str">
        <f aca="false">IFERROR(Cost_Model!$B$21*K92*T92/3600/X92*1000000,"")</f>
        <v/>
      </c>
      <c r="AX92" s="27" t="str">
        <f aca="false">IF(ISNUMBER(Z92),IF(Z92&lt;=Run_Config!$B$31,"PASS","FAIL"),"")</f>
        <v/>
      </c>
      <c r="AY92" s="27" t="str">
        <f aca="false">IF(ISNUMBER(AH92),IF(AH92&gt;=Run_Config!$B$33,"PASS","FAIL"),"")</f>
        <v/>
      </c>
    </row>
    <row r="93" customFormat="false" ht="15" hidden="false" customHeight="false" outlineLevel="0" collapsed="false">
      <c r="AR93" s="23" t="str">
        <f aca="false">IFERROR(V93/(U93+V93)*100,"")</f>
        <v/>
      </c>
      <c r="AS93" s="24" t="str">
        <f aca="false">IFERROR(AI93/K93,"")</f>
        <v/>
      </c>
      <c r="AT93" s="24" t="str">
        <f aca="false">IFERROR(IF(AN93="","",AN93*T93/3600),"")</f>
        <v/>
      </c>
      <c r="AU93" s="25" t="str">
        <f aca="false">IFERROR(X93/(AN93*T93),"")</f>
        <v/>
      </c>
      <c r="AV93" s="25" t="str">
        <f aca="false">IFERROR(AN93*T93/3600/X93*1000,"")</f>
        <v/>
      </c>
      <c r="AW93" s="26" t="str">
        <f aca="false">IFERROR(Cost_Model!$B$21*K93*T93/3600/X93*1000000,"")</f>
        <v/>
      </c>
      <c r="AX93" s="27" t="str">
        <f aca="false">IF(ISNUMBER(Z93),IF(Z93&lt;=Run_Config!$B$31,"PASS","FAIL"),"")</f>
        <v/>
      </c>
      <c r="AY93" s="27" t="str">
        <f aca="false">IF(ISNUMBER(AH93),IF(AH93&gt;=Run_Config!$B$33,"PASS","FAIL"),"")</f>
        <v/>
      </c>
    </row>
    <row r="94" customFormat="false" ht="15" hidden="false" customHeight="false" outlineLevel="0" collapsed="false">
      <c r="AR94" s="23" t="str">
        <f aca="false">IFERROR(V94/(U94+V94)*100,"")</f>
        <v/>
      </c>
      <c r="AS94" s="24" t="str">
        <f aca="false">IFERROR(AI94/K94,"")</f>
        <v/>
      </c>
      <c r="AT94" s="24" t="str">
        <f aca="false">IFERROR(IF(AN94="","",AN94*T94/3600),"")</f>
        <v/>
      </c>
      <c r="AU94" s="25" t="str">
        <f aca="false">IFERROR(X94/(AN94*T94),"")</f>
        <v/>
      </c>
      <c r="AV94" s="25" t="str">
        <f aca="false">IFERROR(AN94*T94/3600/X94*1000,"")</f>
        <v/>
      </c>
      <c r="AW94" s="26" t="str">
        <f aca="false">IFERROR(Cost_Model!$B$21*K94*T94/3600/X94*1000000,"")</f>
        <v/>
      </c>
      <c r="AX94" s="27" t="str">
        <f aca="false">IF(ISNUMBER(Z94),IF(Z94&lt;=Run_Config!$B$31,"PASS","FAIL"),"")</f>
        <v/>
      </c>
      <c r="AY94" s="27" t="str">
        <f aca="false">IF(ISNUMBER(AH94),IF(AH94&gt;=Run_Config!$B$33,"PASS","FAIL"),"")</f>
        <v/>
      </c>
    </row>
    <row r="95" customFormat="false" ht="15" hidden="false" customHeight="false" outlineLevel="0" collapsed="false">
      <c r="AR95" s="23" t="str">
        <f aca="false">IFERROR(V95/(U95+V95)*100,"")</f>
        <v/>
      </c>
      <c r="AS95" s="24" t="str">
        <f aca="false">IFERROR(AI95/K95,"")</f>
        <v/>
      </c>
      <c r="AT95" s="24" t="str">
        <f aca="false">IFERROR(IF(AN95="","",AN95*T95/3600),"")</f>
        <v/>
      </c>
      <c r="AU95" s="25" t="str">
        <f aca="false">IFERROR(X95/(AN95*T95),"")</f>
        <v/>
      </c>
      <c r="AV95" s="25" t="str">
        <f aca="false">IFERROR(AN95*T95/3600/X95*1000,"")</f>
        <v/>
      </c>
      <c r="AW95" s="26" t="str">
        <f aca="false">IFERROR(Cost_Model!$B$21*K95*T95/3600/X95*1000000,"")</f>
        <v/>
      </c>
      <c r="AX95" s="27" t="str">
        <f aca="false">IF(ISNUMBER(Z95),IF(Z95&lt;=Run_Config!$B$31,"PASS","FAIL"),"")</f>
        <v/>
      </c>
      <c r="AY95" s="27" t="str">
        <f aca="false">IF(ISNUMBER(AH95),IF(AH95&gt;=Run_Config!$B$33,"PASS","FAIL"),"")</f>
        <v/>
      </c>
    </row>
    <row r="96" customFormat="false" ht="15" hidden="false" customHeight="false" outlineLevel="0" collapsed="false">
      <c r="AR96" s="23" t="str">
        <f aca="false">IFERROR(V96/(U96+V96)*100,"")</f>
        <v/>
      </c>
      <c r="AS96" s="24" t="str">
        <f aca="false">IFERROR(AI96/K96,"")</f>
        <v/>
      </c>
      <c r="AT96" s="24" t="str">
        <f aca="false">IFERROR(IF(AN96="","",AN96*T96/3600),"")</f>
        <v/>
      </c>
      <c r="AU96" s="25" t="str">
        <f aca="false">IFERROR(X96/(AN96*T96),"")</f>
        <v/>
      </c>
      <c r="AV96" s="25" t="str">
        <f aca="false">IFERROR(AN96*T96/3600/X96*1000,"")</f>
        <v/>
      </c>
      <c r="AW96" s="26" t="str">
        <f aca="false">IFERROR(Cost_Model!$B$21*K96*T96/3600/X96*1000000,"")</f>
        <v/>
      </c>
      <c r="AX96" s="27" t="str">
        <f aca="false">IF(ISNUMBER(Z96),IF(Z96&lt;=Run_Config!$B$31,"PASS","FAIL"),"")</f>
        <v/>
      </c>
      <c r="AY96" s="27" t="str">
        <f aca="false">IF(ISNUMBER(AH96),IF(AH96&gt;=Run_Config!$B$33,"PASS","FAIL"),"")</f>
        <v/>
      </c>
    </row>
    <row r="97" customFormat="false" ht="15" hidden="false" customHeight="false" outlineLevel="0" collapsed="false">
      <c r="AR97" s="23" t="str">
        <f aca="false">IFERROR(V97/(U97+V97)*100,"")</f>
        <v/>
      </c>
      <c r="AS97" s="24" t="str">
        <f aca="false">IFERROR(AI97/K97,"")</f>
        <v/>
      </c>
      <c r="AT97" s="24" t="str">
        <f aca="false">IFERROR(IF(AN97="","",AN97*T97/3600),"")</f>
        <v/>
      </c>
      <c r="AU97" s="25" t="str">
        <f aca="false">IFERROR(X97/(AN97*T97),"")</f>
        <v/>
      </c>
      <c r="AV97" s="25" t="str">
        <f aca="false">IFERROR(AN97*T97/3600/X97*1000,"")</f>
        <v/>
      </c>
      <c r="AW97" s="26" t="str">
        <f aca="false">IFERROR(Cost_Model!$B$21*K97*T97/3600/X97*1000000,"")</f>
        <v/>
      </c>
      <c r="AX97" s="27" t="str">
        <f aca="false">IF(ISNUMBER(Z97),IF(Z97&lt;=Run_Config!$B$31,"PASS","FAIL"),"")</f>
        <v/>
      </c>
      <c r="AY97" s="27" t="str">
        <f aca="false">IF(ISNUMBER(AH97),IF(AH97&gt;=Run_Config!$B$33,"PASS","FAIL"),"")</f>
        <v/>
      </c>
    </row>
    <row r="98" customFormat="false" ht="15" hidden="false" customHeight="false" outlineLevel="0" collapsed="false">
      <c r="AR98" s="23" t="str">
        <f aca="false">IFERROR(V98/(U98+V98)*100,"")</f>
        <v/>
      </c>
      <c r="AS98" s="24" t="str">
        <f aca="false">IFERROR(AI98/K98,"")</f>
        <v/>
      </c>
      <c r="AT98" s="24" t="str">
        <f aca="false">IFERROR(IF(AN98="","",AN98*T98/3600),"")</f>
        <v/>
      </c>
      <c r="AU98" s="25" t="str">
        <f aca="false">IFERROR(X98/(AN98*T98),"")</f>
        <v/>
      </c>
      <c r="AV98" s="25" t="str">
        <f aca="false">IFERROR(AN98*T98/3600/X98*1000,"")</f>
        <v/>
      </c>
      <c r="AW98" s="26" t="str">
        <f aca="false">IFERROR(Cost_Model!$B$21*K98*T98/3600/X98*1000000,"")</f>
        <v/>
      </c>
      <c r="AX98" s="27" t="str">
        <f aca="false">IF(ISNUMBER(Z98),IF(Z98&lt;=Run_Config!$B$31,"PASS","FAIL"),"")</f>
        <v/>
      </c>
      <c r="AY98" s="27" t="str">
        <f aca="false">IF(ISNUMBER(AH98),IF(AH98&gt;=Run_Config!$B$33,"PASS","FAIL"),"")</f>
        <v/>
      </c>
    </row>
    <row r="99" customFormat="false" ht="15" hidden="false" customHeight="false" outlineLevel="0" collapsed="false">
      <c r="AR99" s="23" t="str">
        <f aca="false">IFERROR(V99/(U99+V99)*100,"")</f>
        <v/>
      </c>
      <c r="AS99" s="24" t="str">
        <f aca="false">IFERROR(AI99/K99,"")</f>
        <v/>
      </c>
      <c r="AT99" s="24" t="str">
        <f aca="false">IFERROR(IF(AN99="","",AN99*T99/3600),"")</f>
        <v/>
      </c>
      <c r="AU99" s="25" t="str">
        <f aca="false">IFERROR(X99/(AN99*T99),"")</f>
        <v/>
      </c>
      <c r="AV99" s="25" t="str">
        <f aca="false">IFERROR(AN99*T99/3600/X99*1000,"")</f>
        <v/>
      </c>
      <c r="AW99" s="26" t="str">
        <f aca="false">IFERROR(Cost_Model!$B$21*K99*T99/3600/X99*1000000,"")</f>
        <v/>
      </c>
      <c r="AX99" s="27" t="str">
        <f aca="false">IF(ISNUMBER(Z99),IF(Z99&lt;=Run_Config!$B$31,"PASS","FAIL"),"")</f>
        <v/>
      </c>
      <c r="AY99" s="27" t="str">
        <f aca="false">IF(ISNUMBER(AH99),IF(AH99&gt;=Run_Config!$B$33,"PASS","FAIL"),"")</f>
        <v/>
      </c>
    </row>
    <row r="100" customFormat="false" ht="15" hidden="false" customHeight="false" outlineLevel="0" collapsed="false">
      <c r="AR100" s="23" t="str">
        <f aca="false">IFERROR(V100/(U100+V100)*100,"")</f>
        <v/>
      </c>
      <c r="AS100" s="24" t="str">
        <f aca="false">IFERROR(AI100/K100,"")</f>
        <v/>
      </c>
      <c r="AT100" s="24" t="str">
        <f aca="false">IFERROR(IF(AN100="","",AN100*T100/3600),"")</f>
        <v/>
      </c>
      <c r="AU100" s="25" t="str">
        <f aca="false">IFERROR(X100/(AN100*T100),"")</f>
        <v/>
      </c>
      <c r="AV100" s="25" t="str">
        <f aca="false">IFERROR(AN100*T100/3600/X100*1000,"")</f>
        <v/>
      </c>
      <c r="AW100" s="26" t="str">
        <f aca="false">IFERROR(Cost_Model!$B$21*K100*T100/3600/X100*1000000,"")</f>
        <v/>
      </c>
      <c r="AX100" s="27" t="str">
        <f aca="false">IF(ISNUMBER(Z100),IF(Z100&lt;=Run_Config!$B$31,"PASS","FAIL"),"")</f>
        <v/>
      </c>
      <c r="AY100" s="27" t="str">
        <f aca="false">IF(ISNUMBER(AH100),IF(AH100&gt;=Run_Config!$B$33,"PASS","FAIL"),"")</f>
        <v/>
      </c>
    </row>
    <row r="101" customFormat="false" ht="15" hidden="false" customHeight="false" outlineLevel="0" collapsed="false">
      <c r="AR101" s="23" t="str">
        <f aca="false">IFERROR(V101/(U101+V101)*100,"")</f>
        <v/>
      </c>
      <c r="AS101" s="24" t="str">
        <f aca="false">IFERROR(AI101/K101,"")</f>
        <v/>
      </c>
      <c r="AT101" s="24" t="str">
        <f aca="false">IFERROR(IF(AN101="","",AN101*T101/3600),"")</f>
        <v/>
      </c>
      <c r="AU101" s="25" t="str">
        <f aca="false">IFERROR(X101/(AN101*T101),"")</f>
        <v/>
      </c>
      <c r="AV101" s="25" t="str">
        <f aca="false">IFERROR(AN101*T101/3600/X101*1000,"")</f>
        <v/>
      </c>
      <c r="AW101" s="26" t="str">
        <f aca="false">IFERROR(Cost_Model!$B$21*K101*T101/3600/X101*1000000,"")</f>
        <v/>
      </c>
      <c r="AX101" s="27" t="str">
        <f aca="false">IF(ISNUMBER(Z101),IF(Z101&lt;=Run_Config!$B$31,"PASS","FAIL"),"")</f>
        <v/>
      </c>
      <c r="AY101" s="27" t="str">
        <f aca="false">IF(ISNUMBER(AH101),IF(AH101&gt;=Run_Config!$B$33,"PASS","FAIL"),"")</f>
        <v/>
      </c>
    </row>
    <row r="102" customFormat="false" ht="15" hidden="false" customHeight="false" outlineLevel="0" collapsed="false">
      <c r="AR102" s="23" t="str">
        <f aca="false">IFERROR(V102/(U102+V102)*100,"")</f>
        <v/>
      </c>
      <c r="AS102" s="24" t="str">
        <f aca="false">IFERROR(AI102/K102,"")</f>
        <v/>
      </c>
      <c r="AT102" s="24" t="str">
        <f aca="false">IFERROR(IF(AN102="","",AN102*T102/3600),"")</f>
        <v/>
      </c>
      <c r="AU102" s="25" t="str">
        <f aca="false">IFERROR(X102/(AN102*T102),"")</f>
        <v/>
      </c>
      <c r="AV102" s="25" t="str">
        <f aca="false">IFERROR(AN102*T102/3600/X102*1000,"")</f>
        <v/>
      </c>
      <c r="AW102" s="26" t="str">
        <f aca="false">IFERROR(Cost_Model!$B$21*K102*T102/3600/X102*1000000,"")</f>
        <v/>
      </c>
      <c r="AX102" s="27" t="str">
        <f aca="false">IF(ISNUMBER(Z102),IF(Z102&lt;=Run_Config!$B$31,"PASS","FAIL"),"")</f>
        <v/>
      </c>
      <c r="AY102" s="27" t="str">
        <f aca="false">IF(ISNUMBER(AH102),IF(AH102&gt;=Run_Config!$B$33,"PASS","FAIL"),"")</f>
        <v/>
      </c>
    </row>
    <row r="103" customFormat="false" ht="15" hidden="false" customHeight="false" outlineLevel="0" collapsed="false">
      <c r="AR103" s="23" t="str">
        <f aca="false">IFERROR(V103/(U103+V103)*100,"")</f>
        <v/>
      </c>
      <c r="AS103" s="24" t="str">
        <f aca="false">IFERROR(AI103/K103,"")</f>
        <v/>
      </c>
      <c r="AT103" s="24" t="str">
        <f aca="false">IFERROR(IF(AN103="","",AN103*T103/3600),"")</f>
        <v/>
      </c>
      <c r="AU103" s="25" t="str">
        <f aca="false">IFERROR(X103/(AN103*T103),"")</f>
        <v/>
      </c>
      <c r="AV103" s="25" t="str">
        <f aca="false">IFERROR(AN103*T103/3600/X103*1000,"")</f>
        <v/>
      </c>
      <c r="AW103" s="26" t="str">
        <f aca="false">IFERROR(Cost_Model!$B$21*K103*T103/3600/X103*1000000,"")</f>
        <v/>
      </c>
      <c r="AX103" s="27" t="str">
        <f aca="false">IF(ISNUMBER(Z103),IF(Z103&lt;=Run_Config!$B$31,"PASS","FAIL"),"")</f>
        <v/>
      </c>
      <c r="AY103" s="27" t="str">
        <f aca="false">IF(ISNUMBER(AH103),IF(AH103&gt;=Run_Config!$B$33,"PASS","FAIL"),"")</f>
        <v/>
      </c>
    </row>
    <row r="104" customFormat="false" ht="15" hidden="false" customHeight="false" outlineLevel="0" collapsed="false">
      <c r="AR104" s="23" t="str">
        <f aca="false">IFERROR(V104/(U104+V104)*100,"")</f>
        <v/>
      </c>
      <c r="AS104" s="24" t="str">
        <f aca="false">IFERROR(AI104/K104,"")</f>
        <v/>
      </c>
      <c r="AT104" s="24" t="str">
        <f aca="false">IFERROR(IF(AN104="","",AN104*T104/3600),"")</f>
        <v/>
      </c>
      <c r="AU104" s="25" t="str">
        <f aca="false">IFERROR(X104/(AN104*T104),"")</f>
        <v/>
      </c>
      <c r="AV104" s="25" t="str">
        <f aca="false">IFERROR(AN104*T104/3600/X104*1000,"")</f>
        <v/>
      </c>
      <c r="AW104" s="26" t="str">
        <f aca="false">IFERROR(Cost_Model!$B$21*K104*T104/3600/X104*1000000,"")</f>
        <v/>
      </c>
      <c r="AX104" s="27" t="str">
        <f aca="false">IF(ISNUMBER(Z104),IF(Z104&lt;=Run_Config!$B$31,"PASS","FAIL"),"")</f>
        <v/>
      </c>
      <c r="AY104" s="27" t="str">
        <f aca="false">IF(ISNUMBER(AH104),IF(AH104&gt;=Run_Config!$B$33,"PASS","FAIL"),"")</f>
        <v/>
      </c>
    </row>
    <row r="105" customFormat="false" ht="15" hidden="false" customHeight="false" outlineLevel="0" collapsed="false">
      <c r="AR105" s="23" t="str">
        <f aca="false">IFERROR(V105/(U105+V105)*100,"")</f>
        <v/>
      </c>
      <c r="AS105" s="24" t="str">
        <f aca="false">IFERROR(AI105/K105,"")</f>
        <v/>
      </c>
      <c r="AT105" s="24" t="str">
        <f aca="false">IFERROR(IF(AN105="","",AN105*T105/3600),"")</f>
        <v/>
      </c>
      <c r="AU105" s="25" t="str">
        <f aca="false">IFERROR(X105/(AN105*T105),"")</f>
        <v/>
      </c>
      <c r="AV105" s="25" t="str">
        <f aca="false">IFERROR(AN105*T105/3600/X105*1000,"")</f>
        <v/>
      </c>
      <c r="AW105" s="26" t="str">
        <f aca="false">IFERROR(Cost_Model!$B$21*K105*T105/3600/X105*1000000,"")</f>
        <v/>
      </c>
      <c r="AX105" s="27" t="str">
        <f aca="false">IF(ISNUMBER(Z105),IF(Z105&lt;=Run_Config!$B$31,"PASS","FAIL"),"")</f>
        <v/>
      </c>
      <c r="AY105" s="27" t="str">
        <f aca="false">IF(ISNUMBER(AH105),IF(AH105&gt;=Run_Config!$B$33,"PASS","FAIL"),"")</f>
        <v/>
      </c>
    </row>
    <row r="106" customFormat="false" ht="15" hidden="false" customHeight="false" outlineLevel="0" collapsed="false">
      <c r="AR106" s="23" t="str">
        <f aca="false">IFERROR(V106/(U106+V106)*100,"")</f>
        <v/>
      </c>
      <c r="AS106" s="24" t="str">
        <f aca="false">IFERROR(AI106/K106,"")</f>
        <v/>
      </c>
      <c r="AT106" s="24" t="str">
        <f aca="false">IFERROR(IF(AN106="","",AN106*T106/3600),"")</f>
        <v/>
      </c>
      <c r="AU106" s="25" t="str">
        <f aca="false">IFERROR(X106/(AN106*T106),"")</f>
        <v/>
      </c>
      <c r="AV106" s="25" t="str">
        <f aca="false">IFERROR(AN106*T106/3600/X106*1000,"")</f>
        <v/>
      </c>
      <c r="AW106" s="26" t="str">
        <f aca="false">IFERROR(Cost_Model!$B$21*K106*T106/3600/X106*1000000,"")</f>
        <v/>
      </c>
      <c r="AX106" s="27" t="str">
        <f aca="false">IF(ISNUMBER(Z106),IF(Z106&lt;=Run_Config!$B$31,"PASS","FAIL"),"")</f>
        <v/>
      </c>
      <c r="AY106" s="27" t="str">
        <f aca="false">IF(ISNUMBER(AH106),IF(AH106&gt;=Run_Config!$B$33,"PASS","FAIL"),"")</f>
        <v/>
      </c>
    </row>
    <row r="107" customFormat="false" ht="15" hidden="false" customHeight="false" outlineLevel="0" collapsed="false">
      <c r="AR107" s="23" t="str">
        <f aca="false">IFERROR(V107/(U107+V107)*100,"")</f>
        <v/>
      </c>
      <c r="AS107" s="24" t="str">
        <f aca="false">IFERROR(AI107/K107,"")</f>
        <v/>
      </c>
      <c r="AT107" s="24" t="str">
        <f aca="false">IFERROR(IF(AN107="","",AN107*T107/3600),"")</f>
        <v/>
      </c>
      <c r="AU107" s="25" t="str">
        <f aca="false">IFERROR(X107/(AN107*T107),"")</f>
        <v/>
      </c>
      <c r="AV107" s="25" t="str">
        <f aca="false">IFERROR(AN107*T107/3600/X107*1000,"")</f>
        <v/>
      </c>
      <c r="AW107" s="26" t="str">
        <f aca="false">IFERROR(Cost_Model!$B$21*K107*T107/3600/X107*1000000,"")</f>
        <v/>
      </c>
      <c r="AX107" s="27" t="str">
        <f aca="false">IF(ISNUMBER(Z107),IF(Z107&lt;=Run_Config!$B$31,"PASS","FAIL"),"")</f>
        <v/>
      </c>
      <c r="AY107" s="27" t="str">
        <f aca="false">IF(ISNUMBER(AH107),IF(AH107&gt;=Run_Config!$B$33,"PASS","FAIL"),"")</f>
        <v/>
      </c>
    </row>
    <row r="108" customFormat="false" ht="15" hidden="false" customHeight="false" outlineLevel="0" collapsed="false">
      <c r="AR108" s="23" t="str">
        <f aca="false">IFERROR(V108/(U108+V108)*100,"")</f>
        <v/>
      </c>
      <c r="AS108" s="24" t="str">
        <f aca="false">IFERROR(AI108/K108,"")</f>
        <v/>
      </c>
      <c r="AT108" s="24" t="str">
        <f aca="false">IFERROR(IF(AN108="","",AN108*T108/3600),"")</f>
        <v/>
      </c>
      <c r="AU108" s="25" t="str">
        <f aca="false">IFERROR(X108/(AN108*T108),"")</f>
        <v/>
      </c>
      <c r="AV108" s="25" t="str">
        <f aca="false">IFERROR(AN108*T108/3600/X108*1000,"")</f>
        <v/>
      </c>
      <c r="AW108" s="26" t="str">
        <f aca="false">IFERROR(Cost_Model!$B$21*K108*T108/3600/X108*1000000,"")</f>
        <v/>
      </c>
      <c r="AX108" s="27" t="str">
        <f aca="false">IF(ISNUMBER(Z108),IF(Z108&lt;=Run_Config!$B$31,"PASS","FAIL"),"")</f>
        <v/>
      </c>
      <c r="AY108" s="27" t="str">
        <f aca="false">IF(ISNUMBER(AH108),IF(AH108&gt;=Run_Config!$B$33,"PASS","FAIL"),"")</f>
        <v/>
      </c>
    </row>
    <row r="109" customFormat="false" ht="15" hidden="false" customHeight="false" outlineLevel="0" collapsed="false">
      <c r="AR109" s="23" t="str">
        <f aca="false">IFERROR(V109/(U109+V109)*100,"")</f>
        <v/>
      </c>
      <c r="AS109" s="24" t="str">
        <f aca="false">IFERROR(AI109/K109,"")</f>
        <v/>
      </c>
      <c r="AT109" s="24" t="str">
        <f aca="false">IFERROR(IF(AN109="","",AN109*T109/3600),"")</f>
        <v/>
      </c>
      <c r="AU109" s="25" t="str">
        <f aca="false">IFERROR(X109/(AN109*T109),"")</f>
        <v/>
      </c>
      <c r="AV109" s="25" t="str">
        <f aca="false">IFERROR(AN109*T109/3600/X109*1000,"")</f>
        <v/>
      </c>
      <c r="AW109" s="26" t="str">
        <f aca="false">IFERROR(Cost_Model!$B$21*K109*T109/3600/X109*1000000,"")</f>
        <v/>
      </c>
      <c r="AX109" s="27" t="str">
        <f aca="false">IF(ISNUMBER(Z109),IF(Z109&lt;=Run_Config!$B$31,"PASS","FAIL"),"")</f>
        <v/>
      </c>
      <c r="AY109" s="27" t="str">
        <f aca="false">IF(ISNUMBER(AH109),IF(AH109&gt;=Run_Config!$B$33,"PASS","FAIL"),"")</f>
        <v/>
      </c>
    </row>
    <row r="110" customFormat="false" ht="15" hidden="false" customHeight="false" outlineLevel="0" collapsed="false">
      <c r="AR110" s="23" t="str">
        <f aca="false">IFERROR(V110/(U110+V110)*100,"")</f>
        <v/>
      </c>
      <c r="AS110" s="24" t="str">
        <f aca="false">IFERROR(AI110/K110,"")</f>
        <v/>
      </c>
      <c r="AT110" s="24" t="str">
        <f aca="false">IFERROR(IF(AN110="","",AN110*T110/3600),"")</f>
        <v/>
      </c>
      <c r="AU110" s="25" t="str">
        <f aca="false">IFERROR(X110/(AN110*T110),"")</f>
        <v/>
      </c>
      <c r="AV110" s="25" t="str">
        <f aca="false">IFERROR(AN110*T110/3600/X110*1000,"")</f>
        <v/>
      </c>
      <c r="AW110" s="26" t="str">
        <f aca="false">IFERROR(Cost_Model!$B$21*K110*T110/3600/X110*1000000,"")</f>
        <v/>
      </c>
      <c r="AX110" s="27" t="str">
        <f aca="false">IF(ISNUMBER(Z110),IF(Z110&lt;=Run_Config!$B$31,"PASS","FAIL"),"")</f>
        <v/>
      </c>
      <c r="AY110" s="27" t="str">
        <f aca="false">IF(ISNUMBER(AH110),IF(AH110&gt;=Run_Config!$B$33,"PASS","FAIL"),"")</f>
        <v/>
      </c>
    </row>
    <row r="111" customFormat="false" ht="15" hidden="false" customHeight="false" outlineLevel="0" collapsed="false">
      <c r="AR111" s="23" t="str">
        <f aca="false">IFERROR(V111/(U111+V111)*100,"")</f>
        <v/>
      </c>
      <c r="AS111" s="24" t="str">
        <f aca="false">IFERROR(AI111/K111,"")</f>
        <v/>
      </c>
      <c r="AT111" s="24" t="str">
        <f aca="false">IFERROR(IF(AN111="","",AN111*T111/3600),"")</f>
        <v/>
      </c>
      <c r="AU111" s="25" t="str">
        <f aca="false">IFERROR(X111/(AN111*T111),"")</f>
        <v/>
      </c>
      <c r="AV111" s="25" t="str">
        <f aca="false">IFERROR(AN111*T111/3600/X111*1000,"")</f>
        <v/>
      </c>
      <c r="AW111" s="26" t="str">
        <f aca="false">IFERROR(Cost_Model!$B$21*K111*T111/3600/X111*1000000,"")</f>
        <v/>
      </c>
      <c r="AX111" s="27" t="str">
        <f aca="false">IF(ISNUMBER(Z111),IF(Z111&lt;=Run_Config!$B$31,"PASS","FAIL"),"")</f>
        <v/>
      </c>
      <c r="AY111" s="27" t="str">
        <f aca="false">IF(ISNUMBER(AH111),IF(AH111&gt;=Run_Config!$B$33,"PASS","FAIL"),"")</f>
        <v/>
      </c>
    </row>
    <row r="112" customFormat="false" ht="15" hidden="false" customHeight="false" outlineLevel="0" collapsed="false">
      <c r="AR112" s="23" t="str">
        <f aca="false">IFERROR(V112/(U112+V112)*100,"")</f>
        <v/>
      </c>
      <c r="AS112" s="24" t="str">
        <f aca="false">IFERROR(AI112/K112,"")</f>
        <v/>
      </c>
      <c r="AT112" s="24" t="str">
        <f aca="false">IFERROR(IF(AN112="","",AN112*T112/3600),"")</f>
        <v/>
      </c>
      <c r="AU112" s="25" t="str">
        <f aca="false">IFERROR(X112/(AN112*T112),"")</f>
        <v/>
      </c>
      <c r="AV112" s="25" t="str">
        <f aca="false">IFERROR(AN112*T112/3600/X112*1000,"")</f>
        <v/>
      </c>
      <c r="AW112" s="26" t="str">
        <f aca="false">IFERROR(Cost_Model!$B$21*K112*T112/3600/X112*1000000,"")</f>
        <v/>
      </c>
      <c r="AX112" s="27" t="str">
        <f aca="false">IF(ISNUMBER(Z112),IF(Z112&lt;=Run_Config!$B$31,"PASS","FAIL"),"")</f>
        <v/>
      </c>
      <c r="AY112" s="27" t="str">
        <f aca="false">IF(ISNUMBER(AH112),IF(AH112&gt;=Run_Config!$B$33,"PASS","FAIL"),"")</f>
        <v/>
      </c>
    </row>
    <row r="113" customFormat="false" ht="15" hidden="false" customHeight="false" outlineLevel="0" collapsed="false">
      <c r="AR113" s="23" t="str">
        <f aca="false">IFERROR(V113/(U113+V113)*100,"")</f>
        <v/>
      </c>
      <c r="AS113" s="24" t="str">
        <f aca="false">IFERROR(AI113/K113,"")</f>
        <v/>
      </c>
      <c r="AT113" s="24" t="str">
        <f aca="false">IFERROR(IF(AN113="","",AN113*T113/3600),"")</f>
        <v/>
      </c>
      <c r="AU113" s="25" t="str">
        <f aca="false">IFERROR(X113/(AN113*T113),"")</f>
        <v/>
      </c>
      <c r="AV113" s="25" t="str">
        <f aca="false">IFERROR(AN113*T113/3600/X113*1000,"")</f>
        <v/>
      </c>
      <c r="AW113" s="26" t="str">
        <f aca="false">IFERROR(Cost_Model!$B$21*K113*T113/3600/X113*1000000,"")</f>
        <v/>
      </c>
      <c r="AX113" s="27" t="str">
        <f aca="false">IF(ISNUMBER(Z113),IF(Z113&lt;=Run_Config!$B$31,"PASS","FAIL"),"")</f>
        <v/>
      </c>
      <c r="AY113" s="27" t="str">
        <f aca="false">IF(ISNUMBER(AH113),IF(AH113&gt;=Run_Config!$B$33,"PASS","FAIL"),"")</f>
        <v/>
      </c>
    </row>
    <row r="114" customFormat="false" ht="15" hidden="false" customHeight="false" outlineLevel="0" collapsed="false">
      <c r="AR114" s="23" t="str">
        <f aca="false">IFERROR(V114/(U114+V114)*100,"")</f>
        <v/>
      </c>
      <c r="AS114" s="24" t="str">
        <f aca="false">IFERROR(AI114/K114,"")</f>
        <v/>
      </c>
      <c r="AT114" s="24" t="str">
        <f aca="false">IFERROR(IF(AN114="","",AN114*T114/3600),"")</f>
        <v/>
      </c>
      <c r="AU114" s="25" t="str">
        <f aca="false">IFERROR(X114/(AN114*T114),"")</f>
        <v/>
      </c>
      <c r="AV114" s="25" t="str">
        <f aca="false">IFERROR(AN114*T114/3600/X114*1000,"")</f>
        <v/>
      </c>
      <c r="AW114" s="26" t="str">
        <f aca="false">IFERROR(Cost_Model!$B$21*K114*T114/3600/X114*1000000,"")</f>
        <v/>
      </c>
      <c r="AX114" s="27" t="str">
        <f aca="false">IF(ISNUMBER(Z114),IF(Z114&lt;=Run_Config!$B$31,"PASS","FAIL"),"")</f>
        <v/>
      </c>
      <c r="AY114" s="27" t="str">
        <f aca="false">IF(ISNUMBER(AH114),IF(AH114&gt;=Run_Config!$B$33,"PASS","FAIL"),"")</f>
        <v/>
      </c>
    </row>
    <row r="115" customFormat="false" ht="15" hidden="false" customHeight="false" outlineLevel="0" collapsed="false">
      <c r="AR115" s="23" t="str">
        <f aca="false">IFERROR(V115/(U115+V115)*100,"")</f>
        <v/>
      </c>
      <c r="AS115" s="24" t="str">
        <f aca="false">IFERROR(AI115/K115,"")</f>
        <v/>
      </c>
      <c r="AT115" s="24" t="str">
        <f aca="false">IFERROR(IF(AN115="","",AN115*T115/3600),"")</f>
        <v/>
      </c>
      <c r="AU115" s="25" t="str">
        <f aca="false">IFERROR(X115/(AN115*T115),"")</f>
        <v/>
      </c>
      <c r="AV115" s="25" t="str">
        <f aca="false">IFERROR(AN115*T115/3600/X115*1000,"")</f>
        <v/>
      </c>
      <c r="AW115" s="26" t="str">
        <f aca="false">IFERROR(Cost_Model!$B$21*K115*T115/3600/X115*1000000,"")</f>
        <v/>
      </c>
      <c r="AX115" s="27" t="str">
        <f aca="false">IF(ISNUMBER(Z115),IF(Z115&lt;=Run_Config!$B$31,"PASS","FAIL"),"")</f>
        <v/>
      </c>
      <c r="AY115" s="27" t="str">
        <f aca="false">IF(ISNUMBER(AH115),IF(AH115&gt;=Run_Config!$B$33,"PASS","FAIL"),"")</f>
        <v/>
      </c>
    </row>
    <row r="116" customFormat="false" ht="15" hidden="false" customHeight="false" outlineLevel="0" collapsed="false">
      <c r="AR116" s="23" t="str">
        <f aca="false">IFERROR(V116/(U116+V116)*100,"")</f>
        <v/>
      </c>
      <c r="AS116" s="24" t="str">
        <f aca="false">IFERROR(AI116/K116,"")</f>
        <v/>
      </c>
      <c r="AT116" s="24" t="str">
        <f aca="false">IFERROR(IF(AN116="","",AN116*T116/3600),"")</f>
        <v/>
      </c>
      <c r="AU116" s="25" t="str">
        <f aca="false">IFERROR(X116/(AN116*T116),"")</f>
        <v/>
      </c>
      <c r="AV116" s="25" t="str">
        <f aca="false">IFERROR(AN116*T116/3600/X116*1000,"")</f>
        <v/>
      </c>
      <c r="AW116" s="26" t="str">
        <f aca="false">IFERROR(Cost_Model!$B$21*K116*T116/3600/X116*1000000,"")</f>
        <v/>
      </c>
      <c r="AX116" s="27" t="str">
        <f aca="false">IF(ISNUMBER(Z116),IF(Z116&lt;=Run_Config!$B$31,"PASS","FAIL"),"")</f>
        <v/>
      </c>
      <c r="AY116" s="27" t="str">
        <f aca="false">IF(ISNUMBER(AH116),IF(AH116&gt;=Run_Config!$B$33,"PASS","FAIL"),"")</f>
        <v/>
      </c>
    </row>
    <row r="117" customFormat="false" ht="15" hidden="false" customHeight="false" outlineLevel="0" collapsed="false">
      <c r="AR117" s="23" t="str">
        <f aca="false">IFERROR(V117/(U117+V117)*100,"")</f>
        <v/>
      </c>
      <c r="AS117" s="24" t="str">
        <f aca="false">IFERROR(AI117/K117,"")</f>
        <v/>
      </c>
      <c r="AT117" s="24" t="str">
        <f aca="false">IFERROR(IF(AN117="","",AN117*T117/3600),"")</f>
        <v/>
      </c>
      <c r="AU117" s="25" t="str">
        <f aca="false">IFERROR(X117/(AN117*T117),"")</f>
        <v/>
      </c>
      <c r="AV117" s="25" t="str">
        <f aca="false">IFERROR(AN117*T117/3600/X117*1000,"")</f>
        <v/>
      </c>
      <c r="AW117" s="26" t="str">
        <f aca="false">IFERROR(Cost_Model!$B$21*K117*T117/3600/X117*1000000,"")</f>
        <v/>
      </c>
      <c r="AX117" s="27" t="str">
        <f aca="false">IF(ISNUMBER(Z117),IF(Z117&lt;=Run_Config!$B$31,"PASS","FAIL"),"")</f>
        <v/>
      </c>
      <c r="AY117" s="27" t="str">
        <f aca="false">IF(ISNUMBER(AH117),IF(AH117&gt;=Run_Config!$B$33,"PASS","FAIL"),"")</f>
        <v/>
      </c>
    </row>
    <row r="118" customFormat="false" ht="15" hidden="false" customHeight="false" outlineLevel="0" collapsed="false">
      <c r="AR118" s="23" t="str">
        <f aca="false">IFERROR(V118/(U118+V118)*100,"")</f>
        <v/>
      </c>
      <c r="AS118" s="24" t="str">
        <f aca="false">IFERROR(AI118/K118,"")</f>
        <v/>
      </c>
      <c r="AT118" s="24" t="str">
        <f aca="false">IFERROR(IF(AN118="","",AN118*T118/3600),"")</f>
        <v/>
      </c>
      <c r="AU118" s="25" t="str">
        <f aca="false">IFERROR(X118/(AN118*T118),"")</f>
        <v/>
      </c>
      <c r="AV118" s="25" t="str">
        <f aca="false">IFERROR(AN118*T118/3600/X118*1000,"")</f>
        <v/>
      </c>
      <c r="AW118" s="26" t="str">
        <f aca="false">IFERROR(Cost_Model!$B$21*K118*T118/3600/X118*1000000,"")</f>
        <v/>
      </c>
      <c r="AX118" s="27" t="str">
        <f aca="false">IF(ISNUMBER(Z118),IF(Z118&lt;=Run_Config!$B$31,"PASS","FAIL"),"")</f>
        <v/>
      </c>
      <c r="AY118" s="27" t="str">
        <f aca="false">IF(ISNUMBER(AH118),IF(AH118&gt;=Run_Config!$B$33,"PASS","FAIL"),"")</f>
        <v/>
      </c>
    </row>
    <row r="119" customFormat="false" ht="15" hidden="false" customHeight="false" outlineLevel="0" collapsed="false">
      <c r="AR119" s="23" t="str">
        <f aca="false">IFERROR(V119/(U119+V119)*100,"")</f>
        <v/>
      </c>
      <c r="AS119" s="24" t="str">
        <f aca="false">IFERROR(AI119/K119,"")</f>
        <v/>
      </c>
      <c r="AT119" s="24" t="str">
        <f aca="false">IFERROR(IF(AN119="","",AN119*T119/3600),"")</f>
        <v/>
      </c>
      <c r="AU119" s="25" t="str">
        <f aca="false">IFERROR(X119/(AN119*T119),"")</f>
        <v/>
      </c>
      <c r="AV119" s="25" t="str">
        <f aca="false">IFERROR(AN119*T119/3600/X119*1000,"")</f>
        <v/>
      </c>
      <c r="AW119" s="26" t="str">
        <f aca="false">IFERROR(Cost_Model!$B$21*K119*T119/3600/X119*1000000,"")</f>
        <v/>
      </c>
      <c r="AX119" s="27" t="str">
        <f aca="false">IF(ISNUMBER(Z119),IF(Z119&lt;=Run_Config!$B$31,"PASS","FAIL"),"")</f>
        <v/>
      </c>
      <c r="AY119" s="27" t="str">
        <f aca="false">IF(ISNUMBER(AH119),IF(AH119&gt;=Run_Config!$B$33,"PASS","FAIL"),"")</f>
        <v/>
      </c>
    </row>
    <row r="120" customFormat="false" ht="15" hidden="false" customHeight="false" outlineLevel="0" collapsed="false">
      <c r="AR120" s="23" t="str">
        <f aca="false">IFERROR(V120/(U120+V120)*100,"")</f>
        <v/>
      </c>
      <c r="AS120" s="24" t="str">
        <f aca="false">IFERROR(AI120/K120,"")</f>
        <v/>
      </c>
      <c r="AT120" s="24" t="str">
        <f aca="false">IFERROR(IF(AN120="","",AN120*T120/3600),"")</f>
        <v/>
      </c>
      <c r="AU120" s="25" t="str">
        <f aca="false">IFERROR(X120/(AN120*T120),"")</f>
        <v/>
      </c>
      <c r="AV120" s="25" t="str">
        <f aca="false">IFERROR(AN120*T120/3600/X120*1000,"")</f>
        <v/>
      </c>
      <c r="AW120" s="26" t="str">
        <f aca="false">IFERROR(Cost_Model!$B$21*K120*T120/3600/X120*1000000,"")</f>
        <v/>
      </c>
      <c r="AX120" s="27" t="str">
        <f aca="false">IF(ISNUMBER(Z120),IF(Z120&lt;=Run_Config!$B$31,"PASS","FAIL"),"")</f>
        <v/>
      </c>
      <c r="AY120" s="27" t="str">
        <f aca="false">IF(ISNUMBER(AH120),IF(AH120&gt;=Run_Config!$B$33,"PASS","FAIL"),"")</f>
        <v/>
      </c>
    </row>
    <row r="121" customFormat="false" ht="15" hidden="false" customHeight="false" outlineLevel="0" collapsed="false">
      <c r="AR121" s="23" t="str">
        <f aca="false">IFERROR(V121/(U121+V121)*100,"")</f>
        <v/>
      </c>
      <c r="AS121" s="24" t="str">
        <f aca="false">IFERROR(AI121/K121,"")</f>
        <v/>
      </c>
      <c r="AT121" s="24" t="str">
        <f aca="false">IFERROR(IF(AN121="","",AN121*T121/3600),"")</f>
        <v/>
      </c>
      <c r="AU121" s="25" t="str">
        <f aca="false">IFERROR(X121/(AN121*T121),"")</f>
        <v/>
      </c>
      <c r="AV121" s="25" t="str">
        <f aca="false">IFERROR(AN121*T121/3600/X121*1000,"")</f>
        <v/>
      </c>
      <c r="AW121" s="26" t="str">
        <f aca="false">IFERROR(Cost_Model!$B$21*K121*T121/3600/X121*1000000,"")</f>
        <v/>
      </c>
      <c r="AX121" s="27" t="str">
        <f aca="false">IF(ISNUMBER(Z121),IF(Z121&lt;=Run_Config!$B$31,"PASS","FAIL"),"")</f>
        <v/>
      </c>
      <c r="AY121" s="27" t="str">
        <f aca="false">IF(ISNUMBER(AH121),IF(AH121&gt;=Run_Config!$B$33,"PASS","FAIL"),"")</f>
        <v/>
      </c>
    </row>
    <row r="122" customFormat="false" ht="15" hidden="false" customHeight="false" outlineLevel="0" collapsed="false">
      <c r="AR122" s="23" t="str">
        <f aca="false">IFERROR(V122/(U122+V122)*100,"")</f>
        <v/>
      </c>
      <c r="AS122" s="24" t="str">
        <f aca="false">IFERROR(AI122/K122,"")</f>
        <v/>
      </c>
      <c r="AT122" s="24" t="str">
        <f aca="false">IFERROR(IF(AN122="","",AN122*T122/3600),"")</f>
        <v/>
      </c>
      <c r="AU122" s="25" t="str">
        <f aca="false">IFERROR(X122/(AN122*T122),"")</f>
        <v/>
      </c>
      <c r="AV122" s="25" t="str">
        <f aca="false">IFERROR(AN122*T122/3600/X122*1000,"")</f>
        <v/>
      </c>
      <c r="AW122" s="26" t="str">
        <f aca="false">IFERROR(Cost_Model!$B$21*K122*T122/3600/X122*1000000,"")</f>
        <v/>
      </c>
      <c r="AX122" s="27" t="str">
        <f aca="false">IF(ISNUMBER(Z122),IF(Z122&lt;=Run_Config!$B$31,"PASS","FAIL"),"")</f>
        <v/>
      </c>
      <c r="AY122" s="27" t="str">
        <f aca="false">IF(ISNUMBER(AH122),IF(AH122&gt;=Run_Config!$B$33,"PASS","FAIL"),"")</f>
        <v/>
      </c>
    </row>
    <row r="123" customFormat="false" ht="15" hidden="false" customHeight="false" outlineLevel="0" collapsed="false">
      <c r="AR123" s="23" t="str">
        <f aca="false">IFERROR(V123/(U123+V123)*100,"")</f>
        <v/>
      </c>
      <c r="AS123" s="24" t="str">
        <f aca="false">IFERROR(AI123/K123,"")</f>
        <v/>
      </c>
      <c r="AT123" s="24" t="str">
        <f aca="false">IFERROR(IF(AN123="","",AN123*T123/3600),"")</f>
        <v/>
      </c>
      <c r="AU123" s="25" t="str">
        <f aca="false">IFERROR(X123/(AN123*T123),"")</f>
        <v/>
      </c>
      <c r="AV123" s="25" t="str">
        <f aca="false">IFERROR(AN123*T123/3600/X123*1000,"")</f>
        <v/>
      </c>
      <c r="AW123" s="26" t="str">
        <f aca="false">IFERROR(Cost_Model!$B$21*K123*T123/3600/X123*1000000,"")</f>
        <v/>
      </c>
      <c r="AX123" s="27" t="str">
        <f aca="false">IF(ISNUMBER(Z123),IF(Z123&lt;=Run_Config!$B$31,"PASS","FAIL"),"")</f>
        <v/>
      </c>
      <c r="AY123" s="27" t="str">
        <f aca="false">IF(ISNUMBER(AH123),IF(AH123&gt;=Run_Config!$B$33,"PASS","FAIL"),"")</f>
        <v/>
      </c>
    </row>
    <row r="124" customFormat="false" ht="15" hidden="false" customHeight="false" outlineLevel="0" collapsed="false">
      <c r="AR124" s="23" t="str">
        <f aca="false">IFERROR(V124/(U124+V124)*100,"")</f>
        <v/>
      </c>
      <c r="AS124" s="24" t="str">
        <f aca="false">IFERROR(AI124/K124,"")</f>
        <v/>
      </c>
      <c r="AT124" s="24" t="str">
        <f aca="false">IFERROR(IF(AN124="","",AN124*T124/3600),"")</f>
        <v/>
      </c>
      <c r="AU124" s="25" t="str">
        <f aca="false">IFERROR(X124/(AN124*T124),"")</f>
        <v/>
      </c>
      <c r="AV124" s="25" t="str">
        <f aca="false">IFERROR(AN124*T124/3600/X124*1000,"")</f>
        <v/>
      </c>
      <c r="AW124" s="26" t="str">
        <f aca="false">IFERROR(Cost_Model!$B$21*K124*T124/3600/X124*1000000,"")</f>
        <v/>
      </c>
      <c r="AX124" s="27" t="str">
        <f aca="false">IF(ISNUMBER(Z124),IF(Z124&lt;=Run_Config!$B$31,"PASS","FAIL"),"")</f>
        <v/>
      </c>
      <c r="AY124" s="27" t="str">
        <f aca="false">IF(ISNUMBER(AH124),IF(AH124&gt;=Run_Config!$B$33,"PASS","FAIL"),"")</f>
        <v/>
      </c>
    </row>
    <row r="125" customFormat="false" ht="15" hidden="false" customHeight="false" outlineLevel="0" collapsed="false">
      <c r="AR125" s="23" t="str">
        <f aca="false">IFERROR(V125/(U125+V125)*100,"")</f>
        <v/>
      </c>
      <c r="AS125" s="24" t="str">
        <f aca="false">IFERROR(AI125/K125,"")</f>
        <v/>
      </c>
      <c r="AT125" s="24" t="str">
        <f aca="false">IFERROR(IF(AN125="","",AN125*T125/3600),"")</f>
        <v/>
      </c>
      <c r="AU125" s="25" t="str">
        <f aca="false">IFERROR(X125/(AN125*T125),"")</f>
        <v/>
      </c>
      <c r="AV125" s="25" t="str">
        <f aca="false">IFERROR(AN125*T125/3600/X125*1000,"")</f>
        <v/>
      </c>
      <c r="AW125" s="26" t="str">
        <f aca="false">IFERROR(Cost_Model!$B$21*K125*T125/3600/X125*1000000,"")</f>
        <v/>
      </c>
      <c r="AX125" s="27" t="str">
        <f aca="false">IF(ISNUMBER(Z125),IF(Z125&lt;=Run_Config!$B$31,"PASS","FAIL"),"")</f>
        <v/>
      </c>
      <c r="AY125" s="27" t="str">
        <f aca="false">IF(ISNUMBER(AH125),IF(AH125&gt;=Run_Config!$B$33,"PASS","FAIL"),"")</f>
        <v/>
      </c>
    </row>
    <row r="126" customFormat="false" ht="15" hidden="false" customHeight="false" outlineLevel="0" collapsed="false">
      <c r="AR126" s="23" t="str">
        <f aca="false">IFERROR(V126/(U126+V126)*100,"")</f>
        <v/>
      </c>
      <c r="AS126" s="24" t="str">
        <f aca="false">IFERROR(AI126/K126,"")</f>
        <v/>
      </c>
      <c r="AT126" s="24" t="str">
        <f aca="false">IFERROR(IF(AN126="","",AN126*T126/3600),"")</f>
        <v/>
      </c>
      <c r="AU126" s="25" t="str">
        <f aca="false">IFERROR(X126/(AN126*T126),"")</f>
        <v/>
      </c>
      <c r="AV126" s="25" t="str">
        <f aca="false">IFERROR(AN126*T126/3600/X126*1000,"")</f>
        <v/>
      </c>
      <c r="AW126" s="26" t="str">
        <f aca="false">IFERROR(Cost_Model!$B$21*K126*T126/3600/X126*1000000,"")</f>
        <v/>
      </c>
      <c r="AX126" s="27" t="str">
        <f aca="false">IF(ISNUMBER(Z126),IF(Z126&lt;=Run_Config!$B$31,"PASS","FAIL"),"")</f>
        <v/>
      </c>
      <c r="AY126" s="27" t="str">
        <f aca="false">IF(ISNUMBER(AH126),IF(AH126&gt;=Run_Config!$B$33,"PASS","FAIL"),"")</f>
        <v/>
      </c>
    </row>
    <row r="127" customFormat="false" ht="15" hidden="false" customHeight="false" outlineLevel="0" collapsed="false">
      <c r="AR127" s="23" t="str">
        <f aca="false">IFERROR(V127/(U127+V127)*100,"")</f>
        <v/>
      </c>
      <c r="AS127" s="24" t="str">
        <f aca="false">IFERROR(AI127/K127,"")</f>
        <v/>
      </c>
      <c r="AT127" s="24" t="str">
        <f aca="false">IFERROR(IF(AN127="","",AN127*T127/3600),"")</f>
        <v/>
      </c>
      <c r="AU127" s="25" t="str">
        <f aca="false">IFERROR(X127/(AN127*T127),"")</f>
        <v/>
      </c>
      <c r="AV127" s="25" t="str">
        <f aca="false">IFERROR(AN127*T127/3600/X127*1000,"")</f>
        <v/>
      </c>
      <c r="AW127" s="26" t="str">
        <f aca="false">IFERROR(Cost_Model!$B$21*K127*T127/3600/X127*1000000,"")</f>
        <v/>
      </c>
      <c r="AX127" s="27" t="str">
        <f aca="false">IF(ISNUMBER(Z127),IF(Z127&lt;=Run_Config!$B$31,"PASS","FAIL"),"")</f>
        <v/>
      </c>
      <c r="AY127" s="27" t="str">
        <f aca="false">IF(ISNUMBER(AH127),IF(AH127&gt;=Run_Config!$B$33,"PASS","FAIL"),"")</f>
        <v/>
      </c>
    </row>
    <row r="128" customFormat="false" ht="15" hidden="false" customHeight="false" outlineLevel="0" collapsed="false">
      <c r="AR128" s="23" t="str">
        <f aca="false">IFERROR(V128/(U128+V128)*100,"")</f>
        <v/>
      </c>
      <c r="AS128" s="24" t="str">
        <f aca="false">IFERROR(AI128/K128,"")</f>
        <v/>
      </c>
      <c r="AT128" s="24" t="str">
        <f aca="false">IFERROR(IF(AN128="","",AN128*T128/3600),"")</f>
        <v/>
      </c>
      <c r="AU128" s="25" t="str">
        <f aca="false">IFERROR(X128/(AN128*T128),"")</f>
        <v/>
      </c>
      <c r="AV128" s="25" t="str">
        <f aca="false">IFERROR(AN128*T128/3600/X128*1000,"")</f>
        <v/>
      </c>
      <c r="AW128" s="26" t="str">
        <f aca="false">IFERROR(Cost_Model!$B$21*K128*T128/3600/X128*1000000,"")</f>
        <v/>
      </c>
      <c r="AX128" s="27" t="str">
        <f aca="false">IF(ISNUMBER(Z128),IF(Z128&lt;=Run_Config!$B$31,"PASS","FAIL"),"")</f>
        <v/>
      </c>
      <c r="AY128" s="27" t="str">
        <f aca="false">IF(ISNUMBER(AH128),IF(AH128&gt;=Run_Config!$B$33,"PASS","FAIL"),"")</f>
        <v/>
      </c>
    </row>
    <row r="129" customFormat="false" ht="15" hidden="false" customHeight="false" outlineLevel="0" collapsed="false">
      <c r="AR129" s="23" t="str">
        <f aca="false">IFERROR(V129/(U129+V129)*100,"")</f>
        <v/>
      </c>
      <c r="AS129" s="24" t="str">
        <f aca="false">IFERROR(AI129/K129,"")</f>
        <v/>
      </c>
      <c r="AT129" s="24" t="str">
        <f aca="false">IFERROR(IF(AN129="","",AN129*T129/3600),"")</f>
        <v/>
      </c>
      <c r="AU129" s="25" t="str">
        <f aca="false">IFERROR(X129/(AN129*T129),"")</f>
        <v/>
      </c>
      <c r="AV129" s="25" t="str">
        <f aca="false">IFERROR(AN129*T129/3600/X129*1000,"")</f>
        <v/>
      </c>
      <c r="AW129" s="26" t="str">
        <f aca="false">IFERROR(Cost_Model!$B$21*K129*T129/3600/X129*1000000,"")</f>
        <v/>
      </c>
      <c r="AX129" s="27" t="str">
        <f aca="false">IF(ISNUMBER(Z129),IF(Z129&lt;=Run_Config!$B$31,"PASS","FAIL"),"")</f>
        <v/>
      </c>
      <c r="AY129" s="27" t="str">
        <f aca="false">IF(ISNUMBER(AH129),IF(AH129&gt;=Run_Config!$B$33,"PASS","FAIL"),"")</f>
        <v/>
      </c>
    </row>
    <row r="130" customFormat="false" ht="15" hidden="false" customHeight="false" outlineLevel="0" collapsed="false">
      <c r="AR130" s="23" t="str">
        <f aca="false">IFERROR(V130/(U130+V130)*100,"")</f>
        <v/>
      </c>
      <c r="AS130" s="24" t="str">
        <f aca="false">IFERROR(AI130/K130,"")</f>
        <v/>
      </c>
      <c r="AT130" s="24" t="str">
        <f aca="false">IFERROR(IF(AN130="","",AN130*T130/3600),"")</f>
        <v/>
      </c>
      <c r="AU130" s="25" t="str">
        <f aca="false">IFERROR(X130/(AN130*T130),"")</f>
        <v/>
      </c>
      <c r="AV130" s="25" t="str">
        <f aca="false">IFERROR(AN130*T130/3600/X130*1000,"")</f>
        <v/>
      </c>
      <c r="AW130" s="26" t="str">
        <f aca="false">IFERROR(Cost_Model!$B$21*K130*T130/3600/X130*1000000,"")</f>
        <v/>
      </c>
      <c r="AX130" s="27" t="str">
        <f aca="false">IF(ISNUMBER(Z130),IF(Z130&lt;=Run_Config!$B$31,"PASS","FAIL"),"")</f>
        <v/>
      </c>
      <c r="AY130" s="27" t="str">
        <f aca="false">IF(ISNUMBER(AH130),IF(AH130&gt;=Run_Config!$B$33,"PASS","FAIL"),"")</f>
        <v/>
      </c>
    </row>
    <row r="131" customFormat="false" ht="15" hidden="false" customHeight="false" outlineLevel="0" collapsed="false">
      <c r="AR131" s="23" t="str">
        <f aca="false">IFERROR(V131/(U131+V131)*100,"")</f>
        <v/>
      </c>
      <c r="AS131" s="24" t="str">
        <f aca="false">IFERROR(AI131/K131,"")</f>
        <v/>
      </c>
      <c r="AT131" s="24" t="str">
        <f aca="false">IFERROR(IF(AN131="","",AN131*T131/3600),"")</f>
        <v/>
      </c>
      <c r="AU131" s="25" t="str">
        <f aca="false">IFERROR(X131/(AN131*T131),"")</f>
        <v/>
      </c>
      <c r="AV131" s="25" t="str">
        <f aca="false">IFERROR(AN131*T131/3600/X131*1000,"")</f>
        <v/>
      </c>
      <c r="AW131" s="26" t="str">
        <f aca="false">IFERROR(Cost_Model!$B$21*K131*T131/3600/X131*1000000,"")</f>
        <v/>
      </c>
      <c r="AX131" s="27" t="str">
        <f aca="false">IF(ISNUMBER(Z131),IF(Z131&lt;=Run_Config!$B$31,"PASS","FAIL"),"")</f>
        <v/>
      </c>
      <c r="AY131" s="27" t="str">
        <f aca="false">IF(ISNUMBER(AH131),IF(AH131&gt;=Run_Config!$B$33,"PASS","FAIL"),"")</f>
        <v/>
      </c>
    </row>
    <row r="132" customFormat="false" ht="15" hidden="false" customHeight="false" outlineLevel="0" collapsed="false">
      <c r="AR132" s="23" t="str">
        <f aca="false">IFERROR(V132/(U132+V132)*100,"")</f>
        <v/>
      </c>
      <c r="AS132" s="24" t="str">
        <f aca="false">IFERROR(AI132/K132,"")</f>
        <v/>
      </c>
      <c r="AT132" s="24" t="str">
        <f aca="false">IFERROR(IF(AN132="","",AN132*T132/3600),"")</f>
        <v/>
      </c>
      <c r="AU132" s="25" t="str">
        <f aca="false">IFERROR(X132/(AN132*T132),"")</f>
        <v/>
      </c>
      <c r="AV132" s="25" t="str">
        <f aca="false">IFERROR(AN132*T132/3600/X132*1000,"")</f>
        <v/>
      </c>
      <c r="AW132" s="26" t="str">
        <f aca="false">IFERROR(Cost_Model!$B$21*K132*T132/3600/X132*1000000,"")</f>
        <v/>
      </c>
      <c r="AX132" s="27" t="str">
        <f aca="false">IF(ISNUMBER(Z132),IF(Z132&lt;=Run_Config!$B$31,"PASS","FAIL"),"")</f>
        <v/>
      </c>
      <c r="AY132" s="27" t="str">
        <f aca="false">IF(ISNUMBER(AH132),IF(AH132&gt;=Run_Config!$B$33,"PASS","FAIL"),"")</f>
        <v/>
      </c>
    </row>
    <row r="133" customFormat="false" ht="15" hidden="false" customHeight="false" outlineLevel="0" collapsed="false">
      <c r="AR133" s="23" t="str">
        <f aca="false">IFERROR(V133/(U133+V133)*100,"")</f>
        <v/>
      </c>
      <c r="AS133" s="24" t="str">
        <f aca="false">IFERROR(AI133/K133,"")</f>
        <v/>
      </c>
      <c r="AT133" s="24" t="str">
        <f aca="false">IFERROR(IF(AN133="","",AN133*T133/3600),"")</f>
        <v/>
      </c>
      <c r="AU133" s="25" t="str">
        <f aca="false">IFERROR(X133/(AN133*T133),"")</f>
        <v/>
      </c>
      <c r="AV133" s="25" t="str">
        <f aca="false">IFERROR(AN133*T133/3600/X133*1000,"")</f>
        <v/>
      </c>
      <c r="AW133" s="26" t="str">
        <f aca="false">IFERROR(Cost_Model!$B$21*K133*T133/3600/X133*1000000,"")</f>
        <v/>
      </c>
      <c r="AX133" s="27" t="str">
        <f aca="false">IF(ISNUMBER(Z133),IF(Z133&lt;=Run_Config!$B$31,"PASS","FAIL"),"")</f>
        <v/>
      </c>
      <c r="AY133" s="27" t="str">
        <f aca="false">IF(ISNUMBER(AH133),IF(AH133&gt;=Run_Config!$B$33,"PASS","FAIL"),"")</f>
        <v/>
      </c>
    </row>
    <row r="134" customFormat="false" ht="15" hidden="false" customHeight="false" outlineLevel="0" collapsed="false">
      <c r="AR134" s="23" t="str">
        <f aca="false">IFERROR(V134/(U134+V134)*100,"")</f>
        <v/>
      </c>
      <c r="AS134" s="24" t="str">
        <f aca="false">IFERROR(AI134/K134,"")</f>
        <v/>
      </c>
      <c r="AT134" s="24" t="str">
        <f aca="false">IFERROR(IF(AN134="","",AN134*T134/3600),"")</f>
        <v/>
      </c>
      <c r="AU134" s="25" t="str">
        <f aca="false">IFERROR(X134/(AN134*T134),"")</f>
        <v/>
      </c>
      <c r="AV134" s="25" t="str">
        <f aca="false">IFERROR(AN134*T134/3600/X134*1000,"")</f>
        <v/>
      </c>
      <c r="AW134" s="26" t="str">
        <f aca="false">IFERROR(Cost_Model!$B$21*K134*T134/3600/X134*1000000,"")</f>
        <v/>
      </c>
      <c r="AX134" s="27" t="str">
        <f aca="false">IF(ISNUMBER(Z134),IF(Z134&lt;=Run_Config!$B$31,"PASS","FAIL"),"")</f>
        <v/>
      </c>
      <c r="AY134" s="27" t="str">
        <f aca="false">IF(ISNUMBER(AH134),IF(AH134&gt;=Run_Config!$B$33,"PASS","FAIL"),"")</f>
        <v/>
      </c>
    </row>
    <row r="135" customFormat="false" ht="15" hidden="false" customHeight="false" outlineLevel="0" collapsed="false">
      <c r="AR135" s="23" t="str">
        <f aca="false">IFERROR(V135/(U135+V135)*100,"")</f>
        <v/>
      </c>
      <c r="AS135" s="24" t="str">
        <f aca="false">IFERROR(AI135/K135,"")</f>
        <v/>
      </c>
      <c r="AT135" s="24" t="str">
        <f aca="false">IFERROR(IF(AN135="","",AN135*T135/3600),"")</f>
        <v/>
      </c>
      <c r="AU135" s="25" t="str">
        <f aca="false">IFERROR(X135/(AN135*T135),"")</f>
        <v/>
      </c>
      <c r="AV135" s="25" t="str">
        <f aca="false">IFERROR(AN135*T135/3600/X135*1000,"")</f>
        <v/>
      </c>
      <c r="AW135" s="26" t="str">
        <f aca="false">IFERROR(Cost_Model!$B$21*K135*T135/3600/X135*1000000,"")</f>
        <v/>
      </c>
      <c r="AX135" s="27" t="str">
        <f aca="false">IF(ISNUMBER(Z135),IF(Z135&lt;=Run_Config!$B$31,"PASS","FAIL"),"")</f>
        <v/>
      </c>
      <c r="AY135" s="27" t="str">
        <f aca="false">IF(ISNUMBER(AH135),IF(AH135&gt;=Run_Config!$B$33,"PASS","FAIL"),"")</f>
        <v/>
      </c>
    </row>
    <row r="136" customFormat="false" ht="15" hidden="false" customHeight="false" outlineLevel="0" collapsed="false">
      <c r="AR136" s="23" t="str">
        <f aca="false">IFERROR(V136/(U136+V136)*100,"")</f>
        <v/>
      </c>
      <c r="AS136" s="24" t="str">
        <f aca="false">IFERROR(AI136/K136,"")</f>
        <v/>
      </c>
      <c r="AT136" s="24" t="str">
        <f aca="false">IFERROR(IF(AN136="","",AN136*T136/3600),"")</f>
        <v/>
      </c>
      <c r="AU136" s="25" t="str">
        <f aca="false">IFERROR(X136/(AN136*T136),"")</f>
        <v/>
      </c>
      <c r="AV136" s="25" t="str">
        <f aca="false">IFERROR(AN136*T136/3600/X136*1000,"")</f>
        <v/>
      </c>
      <c r="AW136" s="26" t="str">
        <f aca="false">IFERROR(Cost_Model!$B$21*K136*T136/3600/X136*1000000,"")</f>
        <v/>
      </c>
      <c r="AX136" s="27" t="str">
        <f aca="false">IF(ISNUMBER(Z136),IF(Z136&lt;=Run_Config!$B$31,"PASS","FAIL"),"")</f>
        <v/>
      </c>
      <c r="AY136" s="27" t="str">
        <f aca="false">IF(ISNUMBER(AH136),IF(AH136&gt;=Run_Config!$B$33,"PASS","FAIL"),"")</f>
        <v/>
      </c>
    </row>
    <row r="137" customFormat="false" ht="15" hidden="false" customHeight="false" outlineLevel="0" collapsed="false">
      <c r="AR137" s="23" t="str">
        <f aca="false">IFERROR(V137/(U137+V137)*100,"")</f>
        <v/>
      </c>
      <c r="AS137" s="24" t="str">
        <f aca="false">IFERROR(AI137/K137,"")</f>
        <v/>
      </c>
      <c r="AT137" s="24" t="str">
        <f aca="false">IFERROR(IF(AN137="","",AN137*T137/3600),"")</f>
        <v/>
      </c>
      <c r="AU137" s="25" t="str">
        <f aca="false">IFERROR(X137/(AN137*T137),"")</f>
        <v/>
      </c>
      <c r="AV137" s="25" t="str">
        <f aca="false">IFERROR(AN137*T137/3600/X137*1000,"")</f>
        <v/>
      </c>
      <c r="AW137" s="26" t="str">
        <f aca="false">IFERROR(Cost_Model!$B$21*K137*T137/3600/X137*1000000,"")</f>
        <v/>
      </c>
      <c r="AX137" s="27" t="str">
        <f aca="false">IF(ISNUMBER(Z137),IF(Z137&lt;=Run_Config!$B$31,"PASS","FAIL"),"")</f>
        <v/>
      </c>
      <c r="AY137" s="27" t="str">
        <f aca="false">IF(ISNUMBER(AH137),IF(AH137&gt;=Run_Config!$B$33,"PASS","FAIL"),"")</f>
        <v/>
      </c>
    </row>
    <row r="138" customFormat="false" ht="15" hidden="false" customHeight="false" outlineLevel="0" collapsed="false">
      <c r="AR138" s="23" t="str">
        <f aca="false">IFERROR(V138/(U138+V138)*100,"")</f>
        <v/>
      </c>
      <c r="AS138" s="24" t="str">
        <f aca="false">IFERROR(AI138/K138,"")</f>
        <v/>
      </c>
      <c r="AT138" s="24" t="str">
        <f aca="false">IFERROR(IF(AN138="","",AN138*T138/3600),"")</f>
        <v/>
      </c>
      <c r="AU138" s="25" t="str">
        <f aca="false">IFERROR(X138/(AN138*T138),"")</f>
        <v/>
      </c>
      <c r="AV138" s="25" t="str">
        <f aca="false">IFERROR(AN138*T138/3600/X138*1000,"")</f>
        <v/>
      </c>
      <c r="AW138" s="26" t="str">
        <f aca="false">IFERROR(Cost_Model!$B$21*K138*T138/3600/X138*1000000,"")</f>
        <v/>
      </c>
      <c r="AX138" s="27" t="str">
        <f aca="false">IF(ISNUMBER(Z138),IF(Z138&lt;=Run_Config!$B$31,"PASS","FAIL"),"")</f>
        <v/>
      </c>
      <c r="AY138" s="27" t="str">
        <f aca="false">IF(ISNUMBER(AH138),IF(AH138&gt;=Run_Config!$B$33,"PASS","FAIL"),"")</f>
        <v/>
      </c>
    </row>
    <row r="139" customFormat="false" ht="15" hidden="false" customHeight="false" outlineLevel="0" collapsed="false">
      <c r="AR139" s="23" t="str">
        <f aca="false">IFERROR(V139/(U139+V139)*100,"")</f>
        <v/>
      </c>
      <c r="AS139" s="24" t="str">
        <f aca="false">IFERROR(AI139/K139,"")</f>
        <v/>
      </c>
      <c r="AT139" s="24" t="str">
        <f aca="false">IFERROR(IF(AN139="","",AN139*T139/3600),"")</f>
        <v/>
      </c>
      <c r="AU139" s="25" t="str">
        <f aca="false">IFERROR(X139/(AN139*T139),"")</f>
        <v/>
      </c>
      <c r="AV139" s="25" t="str">
        <f aca="false">IFERROR(AN139*T139/3600/X139*1000,"")</f>
        <v/>
      </c>
      <c r="AW139" s="26" t="str">
        <f aca="false">IFERROR(Cost_Model!$B$21*K139*T139/3600/X139*1000000,"")</f>
        <v/>
      </c>
      <c r="AX139" s="27" t="str">
        <f aca="false">IF(ISNUMBER(Z139),IF(Z139&lt;=Run_Config!$B$31,"PASS","FAIL"),"")</f>
        <v/>
      </c>
      <c r="AY139" s="27" t="str">
        <f aca="false">IF(ISNUMBER(AH139),IF(AH139&gt;=Run_Config!$B$33,"PASS","FAIL"),"")</f>
        <v/>
      </c>
    </row>
    <row r="140" customFormat="false" ht="15" hidden="false" customHeight="false" outlineLevel="0" collapsed="false">
      <c r="AR140" s="23" t="str">
        <f aca="false">IFERROR(V140/(U140+V140)*100,"")</f>
        <v/>
      </c>
      <c r="AS140" s="24" t="str">
        <f aca="false">IFERROR(AI140/K140,"")</f>
        <v/>
      </c>
      <c r="AT140" s="24" t="str">
        <f aca="false">IFERROR(IF(AN140="","",AN140*T140/3600),"")</f>
        <v/>
      </c>
      <c r="AU140" s="25" t="str">
        <f aca="false">IFERROR(X140/(AN140*T140),"")</f>
        <v/>
      </c>
      <c r="AV140" s="25" t="str">
        <f aca="false">IFERROR(AN140*T140/3600/X140*1000,"")</f>
        <v/>
      </c>
      <c r="AW140" s="26" t="str">
        <f aca="false">IFERROR(Cost_Model!$B$21*K140*T140/3600/X140*1000000,"")</f>
        <v/>
      </c>
      <c r="AX140" s="27" t="str">
        <f aca="false">IF(ISNUMBER(Z140),IF(Z140&lt;=Run_Config!$B$31,"PASS","FAIL"),"")</f>
        <v/>
      </c>
      <c r="AY140" s="27" t="str">
        <f aca="false">IF(ISNUMBER(AH140),IF(AH140&gt;=Run_Config!$B$33,"PASS","FAIL"),"")</f>
        <v/>
      </c>
    </row>
    <row r="141" customFormat="false" ht="15" hidden="false" customHeight="false" outlineLevel="0" collapsed="false">
      <c r="AR141" s="23" t="str">
        <f aca="false">IFERROR(V141/(U141+V141)*100,"")</f>
        <v/>
      </c>
      <c r="AS141" s="24" t="str">
        <f aca="false">IFERROR(AI141/K141,"")</f>
        <v/>
      </c>
      <c r="AT141" s="24" t="str">
        <f aca="false">IFERROR(IF(AN141="","",AN141*T141/3600),"")</f>
        <v/>
      </c>
      <c r="AU141" s="25" t="str">
        <f aca="false">IFERROR(X141/(AN141*T141),"")</f>
        <v/>
      </c>
      <c r="AV141" s="25" t="str">
        <f aca="false">IFERROR(AN141*T141/3600/X141*1000,"")</f>
        <v/>
      </c>
      <c r="AW141" s="26" t="str">
        <f aca="false">IFERROR(Cost_Model!$B$21*K141*T141/3600/X141*1000000,"")</f>
        <v/>
      </c>
      <c r="AX141" s="27" t="str">
        <f aca="false">IF(ISNUMBER(Z141),IF(Z141&lt;=Run_Config!$B$31,"PASS","FAIL"),"")</f>
        <v/>
      </c>
      <c r="AY141" s="27" t="str">
        <f aca="false">IF(ISNUMBER(AH141),IF(AH141&gt;=Run_Config!$B$33,"PASS","FAIL"),"")</f>
        <v/>
      </c>
    </row>
    <row r="142" customFormat="false" ht="15" hidden="false" customHeight="false" outlineLevel="0" collapsed="false">
      <c r="AR142" s="23" t="str">
        <f aca="false">IFERROR(V142/(U142+V142)*100,"")</f>
        <v/>
      </c>
      <c r="AS142" s="24" t="str">
        <f aca="false">IFERROR(AI142/K142,"")</f>
        <v/>
      </c>
      <c r="AT142" s="24" t="str">
        <f aca="false">IFERROR(IF(AN142="","",AN142*T142/3600),"")</f>
        <v/>
      </c>
      <c r="AU142" s="25" t="str">
        <f aca="false">IFERROR(X142/(AN142*T142),"")</f>
        <v/>
      </c>
      <c r="AV142" s="25" t="str">
        <f aca="false">IFERROR(AN142*T142/3600/X142*1000,"")</f>
        <v/>
      </c>
      <c r="AW142" s="26" t="str">
        <f aca="false">IFERROR(Cost_Model!$B$21*K142*T142/3600/X142*1000000,"")</f>
        <v/>
      </c>
      <c r="AX142" s="27" t="str">
        <f aca="false">IF(ISNUMBER(Z142),IF(Z142&lt;=Run_Config!$B$31,"PASS","FAIL"),"")</f>
        <v/>
      </c>
      <c r="AY142" s="27" t="str">
        <f aca="false">IF(ISNUMBER(AH142),IF(AH142&gt;=Run_Config!$B$33,"PASS","FAIL"),"")</f>
        <v/>
      </c>
    </row>
    <row r="143" customFormat="false" ht="15" hidden="false" customHeight="false" outlineLevel="0" collapsed="false">
      <c r="AR143" s="23" t="str">
        <f aca="false">IFERROR(V143/(U143+V143)*100,"")</f>
        <v/>
      </c>
      <c r="AS143" s="24" t="str">
        <f aca="false">IFERROR(AI143/K143,"")</f>
        <v/>
      </c>
      <c r="AT143" s="24" t="str">
        <f aca="false">IFERROR(IF(AN143="","",AN143*T143/3600),"")</f>
        <v/>
      </c>
      <c r="AU143" s="25" t="str">
        <f aca="false">IFERROR(X143/(AN143*T143),"")</f>
        <v/>
      </c>
      <c r="AV143" s="25" t="str">
        <f aca="false">IFERROR(AN143*T143/3600/X143*1000,"")</f>
        <v/>
      </c>
      <c r="AW143" s="26" t="str">
        <f aca="false">IFERROR(Cost_Model!$B$21*K143*T143/3600/X143*1000000,"")</f>
        <v/>
      </c>
      <c r="AX143" s="27" t="str">
        <f aca="false">IF(ISNUMBER(Z143),IF(Z143&lt;=Run_Config!$B$31,"PASS","FAIL"),"")</f>
        <v/>
      </c>
      <c r="AY143" s="27" t="str">
        <f aca="false">IF(ISNUMBER(AH143),IF(AH143&gt;=Run_Config!$B$33,"PASS","FAIL"),"")</f>
        <v/>
      </c>
    </row>
    <row r="144" customFormat="false" ht="15" hidden="false" customHeight="false" outlineLevel="0" collapsed="false">
      <c r="AR144" s="23" t="str">
        <f aca="false">IFERROR(V144/(U144+V144)*100,"")</f>
        <v/>
      </c>
      <c r="AS144" s="24" t="str">
        <f aca="false">IFERROR(AI144/K144,"")</f>
        <v/>
      </c>
      <c r="AT144" s="24" t="str">
        <f aca="false">IFERROR(IF(AN144="","",AN144*T144/3600),"")</f>
        <v/>
      </c>
      <c r="AU144" s="25" t="str">
        <f aca="false">IFERROR(X144/(AN144*T144),"")</f>
        <v/>
      </c>
      <c r="AV144" s="25" t="str">
        <f aca="false">IFERROR(AN144*T144/3600/X144*1000,"")</f>
        <v/>
      </c>
      <c r="AW144" s="26" t="str">
        <f aca="false">IFERROR(Cost_Model!$B$21*K144*T144/3600/X144*1000000,"")</f>
        <v/>
      </c>
      <c r="AX144" s="27" t="str">
        <f aca="false">IF(ISNUMBER(Z144),IF(Z144&lt;=Run_Config!$B$31,"PASS","FAIL"),"")</f>
        <v/>
      </c>
      <c r="AY144" s="27" t="str">
        <f aca="false">IF(ISNUMBER(AH144),IF(AH144&gt;=Run_Config!$B$33,"PASS","FAIL"),"")</f>
        <v/>
      </c>
    </row>
    <row r="145" customFormat="false" ht="15" hidden="false" customHeight="false" outlineLevel="0" collapsed="false">
      <c r="AR145" s="23" t="str">
        <f aca="false">IFERROR(V145/(U145+V145)*100,"")</f>
        <v/>
      </c>
      <c r="AS145" s="24" t="str">
        <f aca="false">IFERROR(AI145/K145,"")</f>
        <v/>
      </c>
      <c r="AT145" s="24" t="str">
        <f aca="false">IFERROR(IF(AN145="","",AN145*T145/3600),"")</f>
        <v/>
      </c>
      <c r="AU145" s="25" t="str">
        <f aca="false">IFERROR(X145/(AN145*T145),"")</f>
        <v/>
      </c>
      <c r="AV145" s="25" t="str">
        <f aca="false">IFERROR(AN145*T145/3600/X145*1000,"")</f>
        <v/>
      </c>
      <c r="AW145" s="26" t="str">
        <f aca="false">IFERROR(Cost_Model!$B$21*K145*T145/3600/X145*1000000,"")</f>
        <v/>
      </c>
      <c r="AX145" s="27" t="str">
        <f aca="false">IF(ISNUMBER(Z145),IF(Z145&lt;=Run_Config!$B$31,"PASS","FAIL"),"")</f>
        <v/>
      </c>
      <c r="AY145" s="27" t="str">
        <f aca="false">IF(ISNUMBER(AH145),IF(AH145&gt;=Run_Config!$B$33,"PASS","FAIL"),"")</f>
        <v/>
      </c>
    </row>
    <row r="146" customFormat="false" ht="15" hidden="false" customHeight="false" outlineLevel="0" collapsed="false">
      <c r="AR146" s="23" t="str">
        <f aca="false">IFERROR(V146/(U146+V146)*100,"")</f>
        <v/>
      </c>
      <c r="AS146" s="24" t="str">
        <f aca="false">IFERROR(AI146/K146,"")</f>
        <v/>
      </c>
      <c r="AT146" s="24" t="str">
        <f aca="false">IFERROR(IF(AN146="","",AN146*T146/3600),"")</f>
        <v/>
      </c>
      <c r="AU146" s="25" t="str">
        <f aca="false">IFERROR(X146/(AN146*T146),"")</f>
        <v/>
      </c>
      <c r="AV146" s="25" t="str">
        <f aca="false">IFERROR(AN146*T146/3600/X146*1000,"")</f>
        <v/>
      </c>
      <c r="AW146" s="26" t="str">
        <f aca="false">IFERROR(Cost_Model!$B$21*K146*T146/3600/X146*1000000,"")</f>
        <v/>
      </c>
      <c r="AX146" s="27" t="str">
        <f aca="false">IF(ISNUMBER(Z146),IF(Z146&lt;=Run_Config!$B$31,"PASS","FAIL"),"")</f>
        <v/>
      </c>
      <c r="AY146" s="27" t="str">
        <f aca="false">IF(ISNUMBER(AH146),IF(AH146&gt;=Run_Config!$B$33,"PASS","FAIL"),"")</f>
        <v/>
      </c>
    </row>
    <row r="147" customFormat="false" ht="15" hidden="false" customHeight="false" outlineLevel="0" collapsed="false">
      <c r="AR147" s="23" t="str">
        <f aca="false">IFERROR(V147/(U147+V147)*100,"")</f>
        <v/>
      </c>
      <c r="AS147" s="24" t="str">
        <f aca="false">IFERROR(AI147/K147,"")</f>
        <v/>
      </c>
      <c r="AT147" s="24" t="str">
        <f aca="false">IFERROR(IF(AN147="","",AN147*T147/3600),"")</f>
        <v/>
      </c>
      <c r="AU147" s="25" t="str">
        <f aca="false">IFERROR(X147/(AN147*T147),"")</f>
        <v/>
      </c>
      <c r="AV147" s="25" t="str">
        <f aca="false">IFERROR(AN147*T147/3600/X147*1000,"")</f>
        <v/>
      </c>
      <c r="AW147" s="26" t="str">
        <f aca="false">IFERROR(Cost_Model!$B$21*K147*T147/3600/X147*1000000,"")</f>
        <v/>
      </c>
      <c r="AX147" s="27" t="str">
        <f aca="false">IF(ISNUMBER(Z147),IF(Z147&lt;=Run_Config!$B$31,"PASS","FAIL"),"")</f>
        <v/>
      </c>
      <c r="AY147" s="27" t="str">
        <f aca="false">IF(ISNUMBER(AH147),IF(AH147&gt;=Run_Config!$B$33,"PASS","FAIL"),"")</f>
        <v/>
      </c>
    </row>
    <row r="148" customFormat="false" ht="15" hidden="false" customHeight="false" outlineLevel="0" collapsed="false">
      <c r="AR148" s="23" t="str">
        <f aca="false">IFERROR(V148/(U148+V148)*100,"")</f>
        <v/>
      </c>
      <c r="AS148" s="24" t="str">
        <f aca="false">IFERROR(AI148/K148,"")</f>
        <v/>
      </c>
      <c r="AT148" s="24" t="str">
        <f aca="false">IFERROR(IF(AN148="","",AN148*T148/3600),"")</f>
        <v/>
      </c>
      <c r="AU148" s="25" t="str">
        <f aca="false">IFERROR(X148/(AN148*T148),"")</f>
        <v/>
      </c>
      <c r="AV148" s="25" t="str">
        <f aca="false">IFERROR(AN148*T148/3600/X148*1000,"")</f>
        <v/>
      </c>
      <c r="AW148" s="26" t="str">
        <f aca="false">IFERROR(Cost_Model!$B$21*K148*T148/3600/X148*1000000,"")</f>
        <v/>
      </c>
      <c r="AX148" s="27" t="str">
        <f aca="false">IF(ISNUMBER(Z148),IF(Z148&lt;=Run_Config!$B$31,"PASS","FAIL"),"")</f>
        <v/>
      </c>
      <c r="AY148" s="27" t="str">
        <f aca="false">IF(ISNUMBER(AH148),IF(AH148&gt;=Run_Config!$B$33,"PASS","FAIL"),"")</f>
        <v/>
      </c>
    </row>
    <row r="149" customFormat="false" ht="15" hidden="false" customHeight="false" outlineLevel="0" collapsed="false">
      <c r="AR149" s="23" t="str">
        <f aca="false">IFERROR(V149/(U149+V149)*100,"")</f>
        <v/>
      </c>
      <c r="AS149" s="24" t="str">
        <f aca="false">IFERROR(AI149/K149,"")</f>
        <v/>
      </c>
      <c r="AT149" s="24" t="str">
        <f aca="false">IFERROR(IF(AN149="","",AN149*T149/3600),"")</f>
        <v/>
      </c>
      <c r="AU149" s="25" t="str">
        <f aca="false">IFERROR(X149/(AN149*T149),"")</f>
        <v/>
      </c>
      <c r="AV149" s="25" t="str">
        <f aca="false">IFERROR(AN149*T149/3600/X149*1000,"")</f>
        <v/>
      </c>
      <c r="AW149" s="26" t="str">
        <f aca="false">IFERROR(Cost_Model!$B$21*K149*T149/3600/X149*1000000,"")</f>
        <v/>
      </c>
      <c r="AX149" s="27" t="str">
        <f aca="false">IF(ISNUMBER(Z149),IF(Z149&lt;=Run_Config!$B$31,"PASS","FAIL"),"")</f>
        <v/>
      </c>
      <c r="AY149" s="27" t="str">
        <f aca="false">IF(ISNUMBER(AH149),IF(AH149&gt;=Run_Config!$B$33,"PASS","FAIL"),"")</f>
        <v/>
      </c>
    </row>
    <row r="150" customFormat="false" ht="15" hidden="false" customHeight="false" outlineLevel="0" collapsed="false">
      <c r="AR150" s="23" t="str">
        <f aca="false">IFERROR(V150/(U150+V150)*100,"")</f>
        <v/>
      </c>
      <c r="AS150" s="24" t="str">
        <f aca="false">IFERROR(AI150/K150,"")</f>
        <v/>
      </c>
      <c r="AT150" s="24" t="str">
        <f aca="false">IFERROR(IF(AN150="","",AN150*T150/3600),"")</f>
        <v/>
      </c>
      <c r="AU150" s="25" t="str">
        <f aca="false">IFERROR(X150/(AN150*T150),"")</f>
        <v/>
      </c>
      <c r="AV150" s="25" t="str">
        <f aca="false">IFERROR(AN150*T150/3600/X150*1000,"")</f>
        <v/>
      </c>
      <c r="AW150" s="26" t="str">
        <f aca="false">IFERROR(Cost_Model!$B$21*K150*T150/3600/X150*1000000,"")</f>
        <v/>
      </c>
      <c r="AX150" s="27" t="str">
        <f aca="false">IF(ISNUMBER(Z150),IF(Z150&lt;=Run_Config!$B$31,"PASS","FAIL"),"")</f>
        <v/>
      </c>
      <c r="AY150" s="27" t="str">
        <f aca="false">IF(ISNUMBER(AH150),IF(AH150&gt;=Run_Config!$B$33,"PASS","FAIL"),"")</f>
        <v/>
      </c>
    </row>
    <row r="151" customFormat="false" ht="15" hidden="false" customHeight="false" outlineLevel="0" collapsed="false">
      <c r="AR151" s="23" t="str">
        <f aca="false">IFERROR(V151/(U151+V151)*100,"")</f>
        <v/>
      </c>
      <c r="AS151" s="24" t="str">
        <f aca="false">IFERROR(AI151/K151,"")</f>
        <v/>
      </c>
      <c r="AT151" s="24" t="str">
        <f aca="false">IFERROR(IF(AN151="","",AN151*T151/3600),"")</f>
        <v/>
      </c>
      <c r="AU151" s="25" t="str">
        <f aca="false">IFERROR(X151/(AN151*T151),"")</f>
        <v/>
      </c>
      <c r="AV151" s="25" t="str">
        <f aca="false">IFERROR(AN151*T151/3600/X151*1000,"")</f>
        <v/>
      </c>
      <c r="AW151" s="26" t="str">
        <f aca="false">IFERROR(Cost_Model!$B$21*K151*T151/3600/X151*1000000,"")</f>
        <v/>
      </c>
      <c r="AX151" s="27" t="str">
        <f aca="false">IF(ISNUMBER(Z151),IF(Z151&lt;=Run_Config!$B$31,"PASS","FAIL"),"")</f>
        <v/>
      </c>
      <c r="AY151" s="27" t="str">
        <f aca="false">IF(ISNUMBER(AH151),IF(AH151&gt;=Run_Config!$B$33,"PASS","FAIL"),"")</f>
        <v/>
      </c>
    </row>
    <row r="152" customFormat="false" ht="15" hidden="false" customHeight="false" outlineLevel="0" collapsed="false">
      <c r="AR152" s="23" t="str">
        <f aca="false">IFERROR(V152/(U152+V152)*100,"")</f>
        <v/>
      </c>
      <c r="AS152" s="24" t="str">
        <f aca="false">IFERROR(AI152/K152,"")</f>
        <v/>
      </c>
      <c r="AT152" s="24" t="str">
        <f aca="false">IFERROR(IF(AN152="","",AN152*T152/3600),"")</f>
        <v/>
      </c>
      <c r="AU152" s="25" t="str">
        <f aca="false">IFERROR(X152/(AN152*T152),"")</f>
        <v/>
      </c>
      <c r="AV152" s="25" t="str">
        <f aca="false">IFERROR(AN152*T152/3600/X152*1000,"")</f>
        <v/>
      </c>
      <c r="AW152" s="26" t="str">
        <f aca="false">IFERROR(Cost_Model!$B$21*K152*T152/3600/X152*1000000,"")</f>
        <v/>
      </c>
      <c r="AX152" s="27" t="str">
        <f aca="false">IF(ISNUMBER(Z152),IF(Z152&lt;=Run_Config!$B$31,"PASS","FAIL"),"")</f>
        <v/>
      </c>
      <c r="AY152" s="27" t="str">
        <f aca="false">IF(ISNUMBER(AH152),IF(AH152&gt;=Run_Config!$B$33,"PASS","FAIL"),"")</f>
        <v/>
      </c>
    </row>
    <row r="153" customFormat="false" ht="15" hidden="false" customHeight="false" outlineLevel="0" collapsed="false">
      <c r="AR153" s="23" t="str">
        <f aca="false">IFERROR(V153/(U153+V153)*100,"")</f>
        <v/>
      </c>
      <c r="AS153" s="24" t="str">
        <f aca="false">IFERROR(AI153/K153,"")</f>
        <v/>
      </c>
      <c r="AT153" s="24" t="str">
        <f aca="false">IFERROR(IF(AN153="","",AN153*T153/3600),"")</f>
        <v/>
      </c>
      <c r="AU153" s="25" t="str">
        <f aca="false">IFERROR(X153/(AN153*T153),"")</f>
        <v/>
      </c>
      <c r="AV153" s="25" t="str">
        <f aca="false">IFERROR(AN153*T153/3600/X153*1000,"")</f>
        <v/>
      </c>
      <c r="AW153" s="26" t="str">
        <f aca="false">IFERROR(Cost_Model!$B$21*K153*T153/3600/X153*1000000,"")</f>
        <v/>
      </c>
      <c r="AX153" s="27" t="str">
        <f aca="false">IF(ISNUMBER(Z153),IF(Z153&lt;=Run_Config!$B$31,"PASS","FAIL"),"")</f>
        <v/>
      </c>
      <c r="AY153" s="27" t="str">
        <f aca="false">IF(ISNUMBER(AH153),IF(AH153&gt;=Run_Config!$B$33,"PASS","FAIL"),"")</f>
        <v/>
      </c>
    </row>
    <row r="154" customFormat="false" ht="15" hidden="false" customHeight="false" outlineLevel="0" collapsed="false">
      <c r="AR154" s="23" t="str">
        <f aca="false">IFERROR(V154/(U154+V154)*100,"")</f>
        <v/>
      </c>
      <c r="AS154" s="24" t="str">
        <f aca="false">IFERROR(AI154/K154,"")</f>
        <v/>
      </c>
      <c r="AT154" s="24" t="str">
        <f aca="false">IFERROR(IF(AN154="","",AN154*T154/3600),"")</f>
        <v/>
      </c>
      <c r="AU154" s="25" t="str">
        <f aca="false">IFERROR(X154/(AN154*T154),"")</f>
        <v/>
      </c>
      <c r="AV154" s="25" t="str">
        <f aca="false">IFERROR(AN154*T154/3600/X154*1000,"")</f>
        <v/>
      </c>
      <c r="AW154" s="26" t="str">
        <f aca="false">IFERROR(Cost_Model!$B$21*K154*T154/3600/X154*1000000,"")</f>
        <v/>
      </c>
      <c r="AX154" s="27" t="str">
        <f aca="false">IF(ISNUMBER(Z154),IF(Z154&lt;=Run_Config!$B$31,"PASS","FAIL"),"")</f>
        <v/>
      </c>
      <c r="AY154" s="27" t="str">
        <f aca="false">IF(ISNUMBER(AH154),IF(AH154&gt;=Run_Config!$B$33,"PASS","FAIL"),"")</f>
        <v/>
      </c>
    </row>
    <row r="155" customFormat="false" ht="15" hidden="false" customHeight="false" outlineLevel="0" collapsed="false">
      <c r="AR155" s="23" t="str">
        <f aca="false">IFERROR(V155/(U155+V155)*100,"")</f>
        <v/>
      </c>
      <c r="AS155" s="24" t="str">
        <f aca="false">IFERROR(AI155/K155,"")</f>
        <v/>
      </c>
      <c r="AT155" s="24" t="str">
        <f aca="false">IFERROR(IF(AN155="","",AN155*T155/3600),"")</f>
        <v/>
      </c>
      <c r="AU155" s="25" t="str">
        <f aca="false">IFERROR(X155/(AN155*T155),"")</f>
        <v/>
      </c>
      <c r="AV155" s="25" t="str">
        <f aca="false">IFERROR(AN155*T155/3600/X155*1000,"")</f>
        <v/>
      </c>
      <c r="AW155" s="26" t="str">
        <f aca="false">IFERROR(Cost_Model!$B$21*K155*T155/3600/X155*1000000,"")</f>
        <v/>
      </c>
      <c r="AX155" s="27" t="str">
        <f aca="false">IF(ISNUMBER(Z155),IF(Z155&lt;=Run_Config!$B$31,"PASS","FAIL"),"")</f>
        <v/>
      </c>
      <c r="AY155" s="27" t="str">
        <f aca="false">IF(ISNUMBER(AH155),IF(AH155&gt;=Run_Config!$B$33,"PASS","FAIL"),"")</f>
        <v/>
      </c>
    </row>
    <row r="156" customFormat="false" ht="15" hidden="false" customHeight="false" outlineLevel="0" collapsed="false">
      <c r="AR156" s="23" t="str">
        <f aca="false">IFERROR(V156/(U156+V156)*100,"")</f>
        <v/>
      </c>
      <c r="AS156" s="24" t="str">
        <f aca="false">IFERROR(AI156/K156,"")</f>
        <v/>
      </c>
      <c r="AT156" s="24" t="str">
        <f aca="false">IFERROR(IF(AN156="","",AN156*T156/3600),"")</f>
        <v/>
      </c>
      <c r="AU156" s="25" t="str">
        <f aca="false">IFERROR(X156/(AN156*T156),"")</f>
        <v/>
      </c>
      <c r="AV156" s="25" t="str">
        <f aca="false">IFERROR(AN156*T156/3600/X156*1000,"")</f>
        <v/>
      </c>
      <c r="AW156" s="26" t="str">
        <f aca="false">IFERROR(Cost_Model!$B$21*K156*T156/3600/X156*1000000,"")</f>
        <v/>
      </c>
      <c r="AX156" s="27" t="str">
        <f aca="false">IF(ISNUMBER(Z156),IF(Z156&lt;=Run_Config!$B$31,"PASS","FAIL"),"")</f>
        <v/>
      </c>
      <c r="AY156" s="27" t="str">
        <f aca="false">IF(ISNUMBER(AH156),IF(AH156&gt;=Run_Config!$B$33,"PASS","FAIL"),"")</f>
        <v/>
      </c>
    </row>
    <row r="157" customFormat="false" ht="15" hidden="false" customHeight="false" outlineLevel="0" collapsed="false">
      <c r="AR157" s="23" t="str">
        <f aca="false">IFERROR(V157/(U157+V157)*100,"")</f>
        <v/>
      </c>
      <c r="AS157" s="24" t="str">
        <f aca="false">IFERROR(AI157/K157,"")</f>
        <v/>
      </c>
      <c r="AT157" s="24" t="str">
        <f aca="false">IFERROR(IF(AN157="","",AN157*T157/3600),"")</f>
        <v/>
      </c>
      <c r="AU157" s="25" t="str">
        <f aca="false">IFERROR(X157/(AN157*T157),"")</f>
        <v/>
      </c>
      <c r="AV157" s="25" t="str">
        <f aca="false">IFERROR(AN157*T157/3600/X157*1000,"")</f>
        <v/>
      </c>
      <c r="AW157" s="26" t="str">
        <f aca="false">IFERROR(Cost_Model!$B$21*K157*T157/3600/X157*1000000,"")</f>
        <v/>
      </c>
      <c r="AX157" s="27" t="str">
        <f aca="false">IF(ISNUMBER(Z157),IF(Z157&lt;=Run_Config!$B$31,"PASS","FAIL"),"")</f>
        <v/>
      </c>
      <c r="AY157" s="27" t="str">
        <f aca="false">IF(ISNUMBER(AH157),IF(AH157&gt;=Run_Config!$B$33,"PASS","FAIL"),"")</f>
        <v/>
      </c>
    </row>
    <row r="158" customFormat="false" ht="15" hidden="false" customHeight="false" outlineLevel="0" collapsed="false">
      <c r="AR158" s="23" t="str">
        <f aca="false">IFERROR(V158/(U158+V158)*100,"")</f>
        <v/>
      </c>
      <c r="AS158" s="24" t="str">
        <f aca="false">IFERROR(AI158/K158,"")</f>
        <v/>
      </c>
      <c r="AT158" s="24" t="str">
        <f aca="false">IFERROR(IF(AN158="","",AN158*T158/3600),"")</f>
        <v/>
      </c>
      <c r="AU158" s="25" t="str">
        <f aca="false">IFERROR(X158/(AN158*T158),"")</f>
        <v/>
      </c>
      <c r="AV158" s="25" t="str">
        <f aca="false">IFERROR(AN158*T158/3600/X158*1000,"")</f>
        <v/>
      </c>
      <c r="AW158" s="26" t="str">
        <f aca="false">IFERROR(Cost_Model!$B$21*K158*T158/3600/X158*1000000,"")</f>
        <v/>
      </c>
      <c r="AX158" s="27" t="str">
        <f aca="false">IF(ISNUMBER(Z158),IF(Z158&lt;=Run_Config!$B$31,"PASS","FAIL"),"")</f>
        <v/>
      </c>
      <c r="AY158" s="27" t="str">
        <f aca="false">IF(ISNUMBER(AH158),IF(AH158&gt;=Run_Config!$B$33,"PASS","FAIL"),"")</f>
        <v/>
      </c>
    </row>
    <row r="159" customFormat="false" ht="15" hidden="false" customHeight="false" outlineLevel="0" collapsed="false">
      <c r="AR159" s="23" t="str">
        <f aca="false">IFERROR(V159/(U159+V159)*100,"")</f>
        <v/>
      </c>
      <c r="AS159" s="24" t="str">
        <f aca="false">IFERROR(AI159/K159,"")</f>
        <v/>
      </c>
      <c r="AT159" s="24" t="str">
        <f aca="false">IFERROR(IF(AN159="","",AN159*T159/3600),"")</f>
        <v/>
      </c>
      <c r="AU159" s="25" t="str">
        <f aca="false">IFERROR(X159/(AN159*T159),"")</f>
        <v/>
      </c>
      <c r="AV159" s="25" t="str">
        <f aca="false">IFERROR(AN159*T159/3600/X159*1000,"")</f>
        <v/>
      </c>
      <c r="AW159" s="26" t="str">
        <f aca="false">IFERROR(Cost_Model!$B$21*K159*T159/3600/X159*1000000,"")</f>
        <v/>
      </c>
      <c r="AX159" s="27" t="str">
        <f aca="false">IF(ISNUMBER(Z159),IF(Z159&lt;=Run_Config!$B$31,"PASS","FAIL"),"")</f>
        <v/>
      </c>
      <c r="AY159" s="27" t="str">
        <f aca="false">IF(ISNUMBER(AH159),IF(AH159&gt;=Run_Config!$B$33,"PASS","FAIL"),"")</f>
        <v/>
      </c>
    </row>
    <row r="160" customFormat="false" ht="15" hidden="false" customHeight="false" outlineLevel="0" collapsed="false">
      <c r="AR160" s="23" t="str">
        <f aca="false">IFERROR(V160/(U160+V160)*100,"")</f>
        <v/>
      </c>
      <c r="AS160" s="24" t="str">
        <f aca="false">IFERROR(AI160/K160,"")</f>
        <v/>
      </c>
      <c r="AT160" s="24" t="str">
        <f aca="false">IFERROR(IF(AN160="","",AN160*T160/3600),"")</f>
        <v/>
      </c>
      <c r="AU160" s="25" t="str">
        <f aca="false">IFERROR(X160/(AN160*T160),"")</f>
        <v/>
      </c>
      <c r="AV160" s="25" t="str">
        <f aca="false">IFERROR(AN160*T160/3600/X160*1000,"")</f>
        <v/>
      </c>
      <c r="AW160" s="26" t="str">
        <f aca="false">IFERROR(Cost_Model!$B$21*K160*T160/3600/X160*1000000,"")</f>
        <v/>
      </c>
      <c r="AX160" s="27" t="str">
        <f aca="false">IF(ISNUMBER(Z160),IF(Z160&lt;=Run_Config!$B$31,"PASS","FAIL"),"")</f>
        <v/>
      </c>
      <c r="AY160" s="27" t="str">
        <f aca="false">IF(ISNUMBER(AH160),IF(AH160&gt;=Run_Config!$B$33,"PASS","FAIL"),"")</f>
        <v/>
      </c>
    </row>
    <row r="161" customFormat="false" ht="15" hidden="false" customHeight="false" outlineLevel="0" collapsed="false">
      <c r="AR161" s="23" t="str">
        <f aca="false">IFERROR(V161/(U161+V161)*100,"")</f>
        <v/>
      </c>
      <c r="AS161" s="24" t="str">
        <f aca="false">IFERROR(AI161/K161,"")</f>
        <v/>
      </c>
      <c r="AT161" s="24" t="str">
        <f aca="false">IFERROR(IF(AN161="","",AN161*T161/3600),"")</f>
        <v/>
      </c>
      <c r="AU161" s="25" t="str">
        <f aca="false">IFERROR(X161/(AN161*T161),"")</f>
        <v/>
      </c>
      <c r="AV161" s="25" t="str">
        <f aca="false">IFERROR(AN161*T161/3600/X161*1000,"")</f>
        <v/>
      </c>
      <c r="AW161" s="26" t="str">
        <f aca="false">IFERROR(Cost_Model!$B$21*K161*T161/3600/X161*1000000,"")</f>
        <v/>
      </c>
      <c r="AX161" s="27" t="str">
        <f aca="false">IF(ISNUMBER(Z161),IF(Z161&lt;=Run_Config!$B$31,"PASS","FAIL"),"")</f>
        <v/>
      </c>
      <c r="AY161" s="27" t="str">
        <f aca="false">IF(ISNUMBER(AH161),IF(AH161&gt;=Run_Config!$B$33,"PASS","FAIL"),"")</f>
        <v/>
      </c>
    </row>
    <row r="162" customFormat="false" ht="15" hidden="false" customHeight="false" outlineLevel="0" collapsed="false">
      <c r="AR162" s="23" t="str">
        <f aca="false">IFERROR(V162/(U162+V162)*100,"")</f>
        <v/>
      </c>
      <c r="AS162" s="24" t="str">
        <f aca="false">IFERROR(AI162/K162,"")</f>
        <v/>
      </c>
      <c r="AT162" s="24" t="str">
        <f aca="false">IFERROR(IF(AN162="","",AN162*T162/3600),"")</f>
        <v/>
      </c>
      <c r="AU162" s="25" t="str">
        <f aca="false">IFERROR(X162/(AN162*T162),"")</f>
        <v/>
      </c>
      <c r="AV162" s="25" t="str">
        <f aca="false">IFERROR(AN162*T162/3600/X162*1000,"")</f>
        <v/>
      </c>
      <c r="AW162" s="26" t="str">
        <f aca="false">IFERROR(Cost_Model!$B$21*K162*T162/3600/X162*1000000,"")</f>
        <v/>
      </c>
      <c r="AX162" s="27" t="str">
        <f aca="false">IF(ISNUMBER(Z162),IF(Z162&lt;=Run_Config!$B$31,"PASS","FAIL"),"")</f>
        <v/>
      </c>
      <c r="AY162" s="27" t="str">
        <f aca="false">IF(ISNUMBER(AH162),IF(AH162&gt;=Run_Config!$B$33,"PASS","FAIL"),"")</f>
        <v/>
      </c>
    </row>
    <row r="163" customFormat="false" ht="15" hidden="false" customHeight="false" outlineLevel="0" collapsed="false">
      <c r="AR163" s="23" t="str">
        <f aca="false">IFERROR(V163/(U163+V163)*100,"")</f>
        <v/>
      </c>
      <c r="AS163" s="24" t="str">
        <f aca="false">IFERROR(AI163/K163,"")</f>
        <v/>
      </c>
      <c r="AT163" s="24" t="str">
        <f aca="false">IFERROR(IF(AN163="","",AN163*T163/3600),"")</f>
        <v/>
      </c>
      <c r="AU163" s="25" t="str">
        <f aca="false">IFERROR(X163/(AN163*T163),"")</f>
        <v/>
      </c>
      <c r="AV163" s="25" t="str">
        <f aca="false">IFERROR(AN163*T163/3600/X163*1000,"")</f>
        <v/>
      </c>
      <c r="AW163" s="26" t="str">
        <f aca="false">IFERROR(Cost_Model!$B$21*K163*T163/3600/X163*1000000,"")</f>
        <v/>
      </c>
      <c r="AX163" s="27" t="str">
        <f aca="false">IF(ISNUMBER(Z163),IF(Z163&lt;=Run_Config!$B$31,"PASS","FAIL"),"")</f>
        <v/>
      </c>
      <c r="AY163" s="27" t="str">
        <f aca="false">IF(ISNUMBER(AH163),IF(AH163&gt;=Run_Config!$B$33,"PASS","FAIL"),"")</f>
        <v/>
      </c>
    </row>
    <row r="164" customFormat="false" ht="15" hidden="false" customHeight="false" outlineLevel="0" collapsed="false">
      <c r="AR164" s="23" t="str">
        <f aca="false">IFERROR(V164/(U164+V164)*100,"")</f>
        <v/>
      </c>
      <c r="AS164" s="24" t="str">
        <f aca="false">IFERROR(AI164/K164,"")</f>
        <v/>
      </c>
      <c r="AT164" s="24" t="str">
        <f aca="false">IFERROR(IF(AN164="","",AN164*T164/3600),"")</f>
        <v/>
      </c>
      <c r="AU164" s="25" t="str">
        <f aca="false">IFERROR(X164/(AN164*T164),"")</f>
        <v/>
      </c>
      <c r="AV164" s="25" t="str">
        <f aca="false">IFERROR(AN164*T164/3600/X164*1000,"")</f>
        <v/>
      </c>
      <c r="AW164" s="26" t="str">
        <f aca="false">IFERROR(Cost_Model!$B$21*K164*T164/3600/X164*1000000,"")</f>
        <v/>
      </c>
      <c r="AX164" s="27" t="str">
        <f aca="false">IF(ISNUMBER(Z164),IF(Z164&lt;=Run_Config!$B$31,"PASS","FAIL"),"")</f>
        <v/>
      </c>
      <c r="AY164" s="27" t="str">
        <f aca="false">IF(ISNUMBER(AH164),IF(AH164&gt;=Run_Config!$B$33,"PASS","FAIL"),"")</f>
        <v/>
      </c>
    </row>
    <row r="165" customFormat="false" ht="15" hidden="false" customHeight="false" outlineLevel="0" collapsed="false">
      <c r="AR165" s="23" t="str">
        <f aca="false">IFERROR(V165/(U165+V165)*100,"")</f>
        <v/>
      </c>
      <c r="AS165" s="24" t="str">
        <f aca="false">IFERROR(AI165/K165,"")</f>
        <v/>
      </c>
      <c r="AT165" s="24" t="str">
        <f aca="false">IFERROR(IF(AN165="","",AN165*T165/3600),"")</f>
        <v/>
      </c>
      <c r="AU165" s="25" t="str">
        <f aca="false">IFERROR(X165/(AN165*T165),"")</f>
        <v/>
      </c>
      <c r="AV165" s="25" t="str">
        <f aca="false">IFERROR(AN165*T165/3600/X165*1000,"")</f>
        <v/>
      </c>
      <c r="AW165" s="26" t="str">
        <f aca="false">IFERROR(Cost_Model!$B$21*K165*T165/3600/X165*1000000,"")</f>
        <v/>
      </c>
      <c r="AX165" s="27" t="str">
        <f aca="false">IF(ISNUMBER(Z165),IF(Z165&lt;=Run_Config!$B$31,"PASS","FAIL"),"")</f>
        <v/>
      </c>
      <c r="AY165" s="27" t="str">
        <f aca="false">IF(ISNUMBER(AH165),IF(AH165&gt;=Run_Config!$B$33,"PASS","FAIL"),"")</f>
        <v/>
      </c>
    </row>
    <row r="166" customFormat="false" ht="15" hidden="false" customHeight="false" outlineLevel="0" collapsed="false">
      <c r="AR166" s="23" t="str">
        <f aca="false">IFERROR(V166/(U166+V166)*100,"")</f>
        <v/>
      </c>
      <c r="AS166" s="24" t="str">
        <f aca="false">IFERROR(AI166/K166,"")</f>
        <v/>
      </c>
      <c r="AT166" s="24" t="str">
        <f aca="false">IFERROR(IF(AN166="","",AN166*T166/3600),"")</f>
        <v/>
      </c>
      <c r="AU166" s="25" t="str">
        <f aca="false">IFERROR(X166/(AN166*T166),"")</f>
        <v/>
      </c>
      <c r="AV166" s="25" t="str">
        <f aca="false">IFERROR(AN166*T166/3600/X166*1000,"")</f>
        <v/>
      </c>
      <c r="AW166" s="26" t="str">
        <f aca="false">IFERROR(Cost_Model!$B$21*K166*T166/3600/X166*1000000,"")</f>
        <v/>
      </c>
      <c r="AX166" s="27" t="str">
        <f aca="false">IF(ISNUMBER(Z166),IF(Z166&lt;=Run_Config!$B$31,"PASS","FAIL"),"")</f>
        <v/>
      </c>
      <c r="AY166" s="27" t="str">
        <f aca="false">IF(ISNUMBER(AH166),IF(AH166&gt;=Run_Config!$B$33,"PASS","FAIL"),"")</f>
        <v/>
      </c>
    </row>
    <row r="167" customFormat="false" ht="15" hidden="false" customHeight="false" outlineLevel="0" collapsed="false">
      <c r="AR167" s="23" t="str">
        <f aca="false">IFERROR(V167/(U167+V167)*100,"")</f>
        <v/>
      </c>
      <c r="AS167" s="24" t="str">
        <f aca="false">IFERROR(AI167/K167,"")</f>
        <v/>
      </c>
      <c r="AT167" s="24" t="str">
        <f aca="false">IFERROR(IF(AN167="","",AN167*T167/3600),"")</f>
        <v/>
      </c>
      <c r="AU167" s="25" t="str">
        <f aca="false">IFERROR(X167/(AN167*T167),"")</f>
        <v/>
      </c>
      <c r="AV167" s="25" t="str">
        <f aca="false">IFERROR(AN167*T167/3600/X167*1000,"")</f>
        <v/>
      </c>
      <c r="AW167" s="26" t="str">
        <f aca="false">IFERROR(Cost_Model!$B$21*K167*T167/3600/X167*1000000,"")</f>
        <v/>
      </c>
      <c r="AX167" s="27" t="str">
        <f aca="false">IF(ISNUMBER(Z167),IF(Z167&lt;=Run_Config!$B$31,"PASS","FAIL"),"")</f>
        <v/>
      </c>
      <c r="AY167" s="27" t="str">
        <f aca="false">IF(ISNUMBER(AH167),IF(AH167&gt;=Run_Config!$B$33,"PASS","FAIL"),"")</f>
        <v/>
      </c>
    </row>
    <row r="168" customFormat="false" ht="15" hidden="false" customHeight="false" outlineLevel="0" collapsed="false">
      <c r="AR168" s="23" t="str">
        <f aca="false">IFERROR(V168/(U168+V168)*100,"")</f>
        <v/>
      </c>
      <c r="AS168" s="24" t="str">
        <f aca="false">IFERROR(AI168/K168,"")</f>
        <v/>
      </c>
      <c r="AT168" s="24" t="str">
        <f aca="false">IFERROR(IF(AN168="","",AN168*T168/3600),"")</f>
        <v/>
      </c>
      <c r="AU168" s="25" t="str">
        <f aca="false">IFERROR(X168/(AN168*T168),"")</f>
        <v/>
      </c>
      <c r="AV168" s="25" t="str">
        <f aca="false">IFERROR(AN168*T168/3600/X168*1000,"")</f>
        <v/>
      </c>
      <c r="AW168" s="26" t="str">
        <f aca="false">IFERROR(Cost_Model!$B$21*K168*T168/3600/X168*1000000,"")</f>
        <v/>
      </c>
      <c r="AX168" s="27" t="str">
        <f aca="false">IF(ISNUMBER(Z168),IF(Z168&lt;=Run_Config!$B$31,"PASS","FAIL"),"")</f>
        <v/>
      </c>
      <c r="AY168" s="27" t="str">
        <f aca="false">IF(ISNUMBER(AH168),IF(AH168&gt;=Run_Config!$B$33,"PASS","FAIL"),"")</f>
        <v/>
      </c>
    </row>
    <row r="169" customFormat="false" ht="15" hidden="false" customHeight="false" outlineLevel="0" collapsed="false">
      <c r="AR169" s="23" t="str">
        <f aca="false">IFERROR(V169/(U169+V169)*100,"")</f>
        <v/>
      </c>
      <c r="AS169" s="24" t="str">
        <f aca="false">IFERROR(AI169/K169,"")</f>
        <v/>
      </c>
      <c r="AT169" s="24" t="str">
        <f aca="false">IFERROR(IF(AN169="","",AN169*T169/3600),"")</f>
        <v/>
      </c>
      <c r="AU169" s="25" t="str">
        <f aca="false">IFERROR(X169/(AN169*T169),"")</f>
        <v/>
      </c>
      <c r="AV169" s="25" t="str">
        <f aca="false">IFERROR(AN169*T169/3600/X169*1000,"")</f>
        <v/>
      </c>
      <c r="AW169" s="26" t="str">
        <f aca="false">IFERROR(Cost_Model!$B$21*K169*T169/3600/X169*1000000,"")</f>
        <v/>
      </c>
      <c r="AX169" s="27" t="str">
        <f aca="false">IF(ISNUMBER(Z169),IF(Z169&lt;=Run_Config!$B$31,"PASS","FAIL"),"")</f>
        <v/>
      </c>
      <c r="AY169" s="27" t="str">
        <f aca="false">IF(ISNUMBER(AH169),IF(AH169&gt;=Run_Config!$B$33,"PASS","FAIL"),"")</f>
        <v/>
      </c>
    </row>
    <row r="170" customFormat="false" ht="15" hidden="false" customHeight="false" outlineLevel="0" collapsed="false">
      <c r="AR170" s="23" t="str">
        <f aca="false">IFERROR(V170/(U170+V170)*100,"")</f>
        <v/>
      </c>
      <c r="AS170" s="24" t="str">
        <f aca="false">IFERROR(AI170/K170,"")</f>
        <v/>
      </c>
      <c r="AT170" s="24" t="str">
        <f aca="false">IFERROR(IF(AN170="","",AN170*T170/3600),"")</f>
        <v/>
      </c>
      <c r="AU170" s="25" t="str">
        <f aca="false">IFERROR(X170/(AN170*T170),"")</f>
        <v/>
      </c>
      <c r="AV170" s="25" t="str">
        <f aca="false">IFERROR(AN170*T170/3600/X170*1000,"")</f>
        <v/>
      </c>
      <c r="AW170" s="26" t="str">
        <f aca="false">IFERROR(Cost_Model!$B$21*K170*T170/3600/X170*1000000,"")</f>
        <v/>
      </c>
      <c r="AX170" s="27" t="str">
        <f aca="false">IF(ISNUMBER(Z170),IF(Z170&lt;=Run_Config!$B$31,"PASS","FAIL"),"")</f>
        <v/>
      </c>
      <c r="AY170" s="27" t="str">
        <f aca="false">IF(ISNUMBER(AH170),IF(AH170&gt;=Run_Config!$B$33,"PASS","FAIL"),"")</f>
        <v/>
      </c>
    </row>
    <row r="171" customFormat="false" ht="15" hidden="false" customHeight="false" outlineLevel="0" collapsed="false">
      <c r="AR171" s="23" t="str">
        <f aca="false">IFERROR(V171/(U171+V171)*100,"")</f>
        <v/>
      </c>
      <c r="AS171" s="24" t="str">
        <f aca="false">IFERROR(AI171/K171,"")</f>
        <v/>
      </c>
      <c r="AT171" s="24" t="str">
        <f aca="false">IFERROR(IF(AN171="","",AN171*T171/3600),"")</f>
        <v/>
      </c>
      <c r="AU171" s="25" t="str">
        <f aca="false">IFERROR(X171/(AN171*T171),"")</f>
        <v/>
      </c>
      <c r="AV171" s="25" t="str">
        <f aca="false">IFERROR(AN171*T171/3600/X171*1000,"")</f>
        <v/>
      </c>
      <c r="AW171" s="26" t="str">
        <f aca="false">IFERROR(Cost_Model!$B$21*K171*T171/3600/X171*1000000,"")</f>
        <v/>
      </c>
      <c r="AX171" s="27" t="str">
        <f aca="false">IF(ISNUMBER(Z171),IF(Z171&lt;=Run_Config!$B$31,"PASS","FAIL"),"")</f>
        <v/>
      </c>
      <c r="AY171" s="27" t="str">
        <f aca="false">IF(ISNUMBER(AH171),IF(AH171&gt;=Run_Config!$B$33,"PASS","FAIL"),"")</f>
        <v/>
      </c>
    </row>
    <row r="172" customFormat="false" ht="15" hidden="false" customHeight="false" outlineLevel="0" collapsed="false">
      <c r="AR172" s="23" t="str">
        <f aca="false">IFERROR(V172/(U172+V172)*100,"")</f>
        <v/>
      </c>
      <c r="AS172" s="24" t="str">
        <f aca="false">IFERROR(AI172/K172,"")</f>
        <v/>
      </c>
      <c r="AT172" s="24" t="str">
        <f aca="false">IFERROR(IF(AN172="","",AN172*T172/3600),"")</f>
        <v/>
      </c>
      <c r="AU172" s="25" t="str">
        <f aca="false">IFERROR(X172/(AN172*T172),"")</f>
        <v/>
      </c>
      <c r="AV172" s="25" t="str">
        <f aca="false">IFERROR(AN172*T172/3600/X172*1000,"")</f>
        <v/>
      </c>
      <c r="AW172" s="26" t="str">
        <f aca="false">IFERROR(Cost_Model!$B$21*K172*T172/3600/X172*1000000,"")</f>
        <v/>
      </c>
      <c r="AX172" s="27" t="str">
        <f aca="false">IF(ISNUMBER(Z172),IF(Z172&lt;=Run_Config!$B$31,"PASS","FAIL"),"")</f>
        <v/>
      </c>
      <c r="AY172" s="27" t="str">
        <f aca="false">IF(ISNUMBER(AH172),IF(AH172&gt;=Run_Config!$B$33,"PASS","FAIL"),"")</f>
        <v/>
      </c>
    </row>
    <row r="173" customFormat="false" ht="15" hidden="false" customHeight="false" outlineLevel="0" collapsed="false">
      <c r="AR173" s="23" t="str">
        <f aca="false">IFERROR(V173/(U173+V173)*100,"")</f>
        <v/>
      </c>
      <c r="AS173" s="24" t="str">
        <f aca="false">IFERROR(AI173/K173,"")</f>
        <v/>
      </c>
      <c r="AT173" s="24" t="str">
        <f aca="false">IFERROR(IF(AN173="","",AN173*T173/3600),"")</f>
        <v/>
      </c>
      <c r="AU173" s="25" t="str">
        <f aca="false">IFERROR(X173/(AN173*T173),"")</f>
        <v/>
      </c>
      <c r="AV173" s="25" t="str">
        <f aca="false">IFERROR(AN173*T173/3600/X173*1000,"")</f>
        <v/>
      </c>
      <c r="AW173" s="26" t="str">
        <f aca="false">IFERROR(Cost_Model!$B$21*K173*T173/3600/X173*1000000,"")</f>
        <v/>
      </c>
      <c r="AX173" s="27" t="str">
        <f aca="false">IF(ISNUMBER(Z173),IF(Z173&lt;=Run_Config!$B$31,"PASS","FAIL"),"")</f>
        <v/>
      </c>
      <c r="AY173" s="27" t="str">
        <f aca="false">IF(ISNUMBER(AH173),IF(AH173&gt;=Run_Config!$B$33,"PASS","FAIL"),"")</f>
        <v/>
      </c>
    </row>
    <row r="174" customFormat="false" ht="15" hidden="false" customHeight="false" outlineLevel="0" collapsed="false">
      <c r="AR174" s="23" t="str">
        <f aca="false">IFERROR(V174/(U174+V174)*100,"")</f>
        <v/>
      </c>
      <c r="AS174" s="24" t="str">
        <f aca="false">IFERROR(AI174/K174,"")</f>
        <v/>
      </c>
      <c r="AT174" s="24" t="str">
        <f aca="false">IFERROR(IF(AN174="","",AN174*T174/3600),"")</f>
        <v/>
      </c>
      <c r="AU174" s="25" t="str">
        <f aca="false">IFERROR(X174/(AN174*T174),"")</f>
        <v/>
      </c>
      <c r="AV174" s="25" t="str">
        <f aca="false">IFERROR(AN174*T174/3600/X174*1000,"")</f>
        <v/>
      </c>
      <c r="AW174" s="26" t="str">
        <f aca="false">IFERROR(Cost_Model!$B$21*K174*T174/3600/X174*1000000,"")</f>
        <v/>
      </c>
      <c r="AX174" s="27" t="str">
        <f aca="false">IF(ISNUMBER(Z174),IF(Z174&lt;=Run_Config!$B$31,"PASS","FAIL"),"")</f>
        <v/>
      </c>
      <c r="AY174" s="27" t="str">
        <f aca="false">IF(ISNUMBER(AH174),IF(AH174&gt;=Run_Config!$B$33,"PASS","FAIL"),"")</f>
        <v/>
      </c>
    </row>
    <row r="175" customFormat="false" ht="15" hidden="false" customHeight="false" outlineLevel="0" collapsed="false">
      <c r="AR175" s="23" t="str">
        <f aca="false">IFERROR(V175/(U175+V175)*100,"")</f>
        <v/>
      </c>
      <c r="AS175" s="24" t="str">
        <f aca="false">IFERROR(AI175/K175,"")</f>
        <v/>
      </c>
      <c r="AT175" s="24" t="str">
        <f aca="false">IFERROR(IF(AN175="","",AN175*T175/3600),"")</f>
        <v/>
      </c>
      <c r="AU175" s="25" t="str">
        <f aca="false">IFERROR(X175/(AN175*T175),"")</f>
        <v/>
      </c>
      <c r="AV175" s="25" t="str">
        <f aca="false">IFERROR(AN175*T175/3600/X175*1000,"")</f>
        <v/>
      </c>
      <c r="AW175" s="26" t="str">
        <f aca="false">IFERROR(Cost_Model!$B$21*K175*T175/3600/X175*1000000,"")</f>
        <v/>
      </c>
      <c r="AX175" s="27" t="str">
        <f aca="false">IF(ISNUMBER(Z175),IF(Z175&lt;=Run_Config!$B$31,"PASS","FAIL"),"")</f>
        <v/>
      </c>
      <c r="AY175" s="27" t="str">
        <f aca="false">IF(ISNUMBER(AH175),IF(AH175&gt;=Run_Config!$B$33,"PASS","FAIL"),"")</f>
        <v/>
      </c>
    </row>
    <row r="176" customFormat="false" ht="15" hidden="false" customHeight="false" outlineLevel="0" collapsed="false">
      <c r="AR176" s="23" t="str">
        <f aca="false">IFERROR(V176/(U176+V176)*100,"")</f>
        <v/>
      </c>
      <c r="AS176" s="24" t="str">
        <f aca="false">IFERROR(AI176/K176,"")</f>
        <v/>
      </c>
      <c r="AT176" s="24" t="str">
        <f aca="false">IFERROR(IF(AN176="","",AN176*T176/3600),"")</f>
        <v/>
      </c>
      <c r="AU176" s="25" t="str">
        <f aca="false">IFERROR(X176/(AN176*T176),"")</f>
        <v/>
      </c>
      <c r="AV176" s="25" t="str">
        <f aca="false">IFERROR(AN176*T176/3600/X176*1000,"")</f>
        <v/>
      </c>
      <c r="AW176" s="26" t="str">
        <f aca="false">IFERROR(Cost_Model!$B$21*K176*T176/3600/X176*1000000,"")</f>
        <v/>
      </c>
      <c r="AX176" s="27" t="str">
        <f aca="false">IF(ISNUMBER(Z176),IF(Z176&lt;=Run_Config!$B$31,"PASS","FAIL"),"")</f>
        <v/>
      </c>
      <c r="AY176" s="27" t="str">
        <f aca="false">IF(ISNUMBER(AH176),IF(AH176&gt;=Run_Config!$B$33,"PASS","FAIL"),"")</f>
        <v/>
      </c>
    </row>
    <row r="177" customFormat="false" ht="15" hidden="false" customHeight="false" outlineLevel="0" collapsed="false">
      <c r="AR177" s="23" t="str">
        <f aca="false">IFERROR(V177/(U177+V177)*100,"")</f>
        <v/>
      </c>
      <c r="AS177" s="24" t="str">
        <f aca="false">IFERROR(AI177/K177,"")</f>
        <v/>
      </c>
      <c r="AT177" s="24" t="str">
        <f aca="false">IFERROR(IF(AN177="","",AN177*T177/3600),"")</f>
        <v/>
      </c>
      <c r="AU177" s="25" t="str">
        <f aca="false">IFERROR(X177/(AN177*T177),"")</f>
        <v/>
      </c>
      <c r="AV177" s="25" t="str">
        <f aca="false">IFERROR(AN177*T177/3600/X177*1000,"")</f>
        <v/>
      </c>
      <c r="AW177" s="26" t="str">
        <f aca="false">IFERROR(Cost_Model!$B$21*K177*T177/3600/X177*1000000,"")</f>
        <v/>
      </c>
      <c r="AX177" s="27" t="str">
        <f aca="false">IF(ISNUMBER(Z177),IF(Z177&lt;=Run_Config!$B$31,"PASS","FAIL"),"")</f>
        <v/>
      </c>
      <c r="AY177" s="27" t="str">
        <f aca="false">IF(ISNUMBER(AH177),IF(AH177&gt;=Run_Config!$B$33,"PASS","FAIL"),"")</f>
        <v/>
      </c>
    </row>
    <row r="178" customFormat="false" ht="15" hidden="false" customHeight="false" outlineLevel="0" collapsed="false">
      <c r="AR178" s="23" t="str">
        <f aca="false">IFERROR(V178/(U178+V178)*100,"")</f>
        <v/>
      </c>
      <c r="AS178" s="24" t="str">
        <f aca="false">IFERROR(AI178/K178,"")</f>
        <v/>
      </c>
      <c r="AT178" s="24" t="str">
        <f aca="false">IFERROR(IF(AN178="","",AN178*T178/3600),"")</f>
        <v/>
      </c>
      <c r="AU178" s="25" t="str">
        <f aca="false">IFERROR(X178/(AN178*T178),"")</f>
        <v/>
      </c>
      <c r="AV178" s="25" t="str">
        <f aca="false">IFERROR(AN178*T178/3600/X178*1000,"")</f>
        <v/>
      </c>
      <c r="AW178" s="26" t="str">
        <f aca="false">IFERROR(Cost_Model!$B$21*K178*T178/3600/X178*1000000,"")</f>
        <v/>
      </c>
      <c r="AX178" s="27" t="str">
        <f aca="false">IF(ISNUMBER(Z178),IF(Z178&lt;=Run_Config!$B$31,"PASS","FAIL"),"")</f>
        <v/>
      </c>
      <c r="AY178" s="27" t="str">
        <f aca="false">IF(ISNUMBER(AH178),IF(AH178&gt;=Run_Config!$B$33,"PASS","FAIL"),"")</f>
        <v/>
      </c>
    </row>
    <row r="179" customFormat="false" ht="15" hidden="false" customHeight="false" outlineLevel="0" collapsed="false">
      <c r="AR179" s="23" t="str">
        <f aca="false">IFERROR(V179/(U179+V179)*100,"")</f>
        <v/>
      </c>
      <c r="AS179" s="24" t="str">
        <f aca="false">IFERROR(AI179/K179,"")</f>
        <v/>
      </c>
      <c r="AT179" s="24" t="str">
        <f aca="false">IFERROR(IF(AN179="","",AN179*T179/3600),"")</f>
        <v/>
      </c>
      <c r="AU179" s="25" t="str">
        <f aca="false">IFERROR(X179/(AN179*T179),"")</f>
        <v/>
      </c>
      <c r="AV179" s="25" t="str">
        <f aca="false">IFERROR(AN179*T179/3600/X179*1000,"")</f>
        <v/>
      </c>
      <c r="AW179" s="26" t="str">
        <f aca="false">IFERROR(Cost_Model!$B$21*K179*T179/3600/X179*1000000,"")</f>
        <v/>
      </c>
      <c r="AX179" s="27" t="str">
        <f aca="false">IF(ISNUMBER(Z179),IF(Z179&lt;=Run_Config!$B$31,"PASS","FAIL"),"")</f>
        <v/>
      </c>
      <c r="AY179" s="27" t="str">
        <f aca="false">IF(ISNUMBER(AH179),IF(AH179&gt;=Run_Config!$B$33,"PASS","FAIL"),"")</f>
        <v/>
      </c>
    </row>
    <row r="180" customFormat="false" ht="15" hidden="false" customHeight="false" outlineLevel="0" collapsed="false">
      <c r="AR180" s="23" t="str">
        <f aca="false">IFERROR(V180/(U180+V180)*100,"")</f>
        <v/>
      </c>
      <c r="AS180" s="24" t="str">
        <f aca="false">IFERROR(AI180/K180,"")</f>
        <v/>
      </c>
      <c r="AT180" s="24" t="str">
        <f aca="false">IFERROR(IF(AN180="","",AN180*T180/3600),"")</f>
        <v/>
      </c>
      <c r="AU180" s="25" t="str">
        <f aca="false">IFERROR(X180/(AN180*T180),"")</f>
        <v/>
      </c>
      <c r="AV180" s="25" t="str">
        <f aca="false">IFERROR(AN180*T180/3600/X180*1000,"")</f>
        <v/>
      </c>
      <c r="AW180" s="26" t="str">
        <f aca="false">IFERROR(Cost_Model!$B$21*K180*T180/3600/X180*1000000,"")</f>
        <v/>
      </c>
      <c r="AX180" s="27" t="str">
        <f aca="false">IF(ISNUMBER(Z180),IF(Z180&lt;=Run_Config!$B$31,"PASS","FAIL"),"")</f>
        <v/>
      </c>
      <c r="AY180" s="27" t="str">
        <f aca="false">IF(ISNUMBER(AH180),IF(AH180&gt;=Run_Config!$B$33,"PASS","FAIL"),"")</f>
        <v/>
      </c>
    </row>
    <row r="181" customFormat="false" ht="15" hidden="false" customHeight="false" outlineLevel="0" collapsed="false">
      <c r="AR181" s="23" t="str">
        <f aca="false">IFERROR(V181/(U181+V181)*100,"")</f>
        <v/>
      </c>
      <c r="AS181" s="24" t="str">
        <f aca="false">IFERROR(AI181/K181,"")</f>
        <v/>
      </c>
      <c r="AT181" s="24" t="str">
        <f aca="false">IFERROR(IF(AN181="","",AN181*T181/3600),"")</f>
        <v/>
      </c>
      <c r="AU181" s="25" t="str">
        <f aca="false">IFERROR(X181/(AN181*T181),"")</f>
        <v/>
      </c>
      <c r="AV181" s="25" t="str">
        <f aca="false">IFERROR(AN181*T181/3600/X181*1000,"")</f>
        <v/>
      </c>
      <c r="AW181" s="26" t="str">
        <f aca="false">IFERROR(Cost_Model!$B$21*K181*T181/3600/X181*1000000,"")</f>
        <v/>
      </c>
      <c r="AX181" s="27" t="str">
        <f aca="false">IF(ISNUMBER(Z181),IF(Z181&lt;=Run_Config!$B$31,"PASS","FAIL"),"")</f>
        <v/>
      </c>
      <c r="AY181" s="27" t="str">
        <f aca="false">IF(ISNUMBER(AH181),IF(AH181&gt;=Run_Config!$B$33,"PASS","FAIL"),"")</f>
        <v/>
      </c>
    </row>
    <row r="182" customFormat="false" ht="15" hidden="false" customHeight="false" outlineLevel="0" collapsed="false">
      <c r="AR182" s="23" t="str">
        <f aca="false">IFERROR(V182/(U182+V182)*100,"")</f>
        <v/>
      </c>
      <c r="AS182" s="24" t="str">
        <f aca="false">IFERROR(AI182/K182,"")</f>
        <v/>
      </c>
      <c r="AT182" s="24" t="str">
        <f aca="false">IFERROR(IF(AN182="","",AN182*T182/3600),"")</f>
        <v/>
      </c>
      <c r="AU182" s="25" t="str">
        <f aca="false">IFERROR(X182/(AN182*T182),"")</f>
        <v/>
      </c>
      <c r="AV182" s="25" t="str">
        <f aca="false">IFERROR(AN182*T182/3600/X182*1000,"")</f>
        <v/>
      </c>
      <c r="AW182" s="26" t="str">
        <f aca="false">IFERROR(Cost_Model!$B$21*K182*T182/3600/X182*1000000,"")</f>
        <v/>
      </c>
      <c r="AX182" s="27" t="str">
        <f aca="false">IF(ISNUMBER(Z182),IF(Z182&lt;=Run_Config!$B$31,"PASS","FAIL"),"")</f>
        <v/>
      </c>
      <c r="AY182" s="27" t="str">
        <f aca="false">IF(ISNUMBER(AH182),IF(AH182&gt;=Run_Config!$B$33,"PASS","FAIL"),"")</f>
        <v/>
      </c>
    </row>
    <row r="183" customFormat="false" ht="15" hidden="false" customHeight="false" outlineLevel="0" collapsed="false">
      <c r="AR183" s="23" t="str">
        <f aca="false">IFERROR(V183/(U183+V183)*100,"")</f>
        <v/>
      </c>
      <c r="AS183" s="24" t="str">
        <f aca="false">IFERROR(AI183/K183,"")</f>
        <v/>
      </c>
      <c r="AT183" s="24" t="str">
        <f aca="false">IFERROR(IF(AN183="","",AN183*T183/3600),"")</f>
        <v/>
      </c>
      <c r="AU183" s="25" t="str">
        <f aca="false">IFERROR(X183/(AN183*T183),"")</f>
        <v/>
      </c>
      <c r="AV183" s="25" t="str">
        <f aca="false">IFERROR(AN183*T183/3600/X183*1000,"")</f>
        <v/>
      </c>
      <c r="AW183" s="26" t="str">
        <f aca="false">IFERROR(Cost_Model!$B$21*K183*T183/3600/X183*1000000,"")</f>
        <v/>
      </c>
      <c r="AX183" s="27" t="str">
        <f aca="false">IF(ISNUMBER(Z183),IF(Z183&lt;=Run_Config!$B$31,"PASS","FAIL"),"")</f>
        <v/>
      </c>
      <c r="AY183" s="27" t="str">
        <f aca="false">IF(ISNUMBER(AH183),IF(AH183&gt;=Run_Config!$B$33,"PASS","FAIL"),"")</f>
        <v/>
      </c>
    </row>
    <row r="184" customFormat="false" ht="15" hidden="false" customHeight="false" outlineLevel="0" collapsed="false">
      <c r="AR184" s="23" t="str">
        <f aca="false">IFERROR(V184/(U184+V184)*100,"")</f>
        <v/>
      </c>
      <c r="AS184" s="24" t="str">
        <f aca="false">IFERROR(AI184/K184,"")</f>
        <v/>
      </c>
      <c r="AT184" s="24" t="str">
        <f aca="false">IFERROR(IF(AN184="","",AN184*T184/3600),"")</f>
        <v/>
      </c>
      <c r="AU184" s="25" t="str">
        <f aca="false">IFERROR(X184/(AN184*T184),"")</f>
        <v/>
      </c>
      <c r="AV184" s="25" t="str">
        <f aca="false">IFERROR(AN184*T184/3600/X184*1000,"")</f>
        <v/>
      </c>
      <c r="AW184" s="26" t="str">
        <f aca="false">IFERROR(Cost_Model!$B$21*K184*T184/3600/X184*1000000,"")</f>
        <v/>
      </c>
      <c r="AX184" s="27" t="str">
        <f aca="false">IF(ISNUMBER(Z184),IF(Z184&lt;=Run_Config!$B$31,"PASS","FAIL"),"")</f>
        <v/>
      </c>
      <c r="AY184" s="27" t="str">
        <f aca="false">IF(ISNUMBER(AH184),IF(AH184&gt;=Run_Config!$B$33,"PASS","FAIL"),"")</f>
        <v/>
      </c>
    </row>
    <row r="185" customFormat="false" ht="15" hidden="false" customHeight="false" outlineLevel="0" collapsed="false">
      <c r="AR185" s="23" t="str">
        <f aca="false">IFERROR(V185/(U185+V185)*100,"")</f>
        <v/>
      </c>
      <c r="AS185" s="24" t="str">
        <f aca="false">IFERROR(AI185/K185,"")</f>
        <v/>
      </c>
      <c r="AT185" s="24" t="str">
        <f aca="false">IFERROR(IF(AN185="","",AN185*T185/3600),"")</f>
        <v/>
      </c>
      <c r="AU185" s="25" t="str">
        <f aca="false">IFERROR(X185/(AN185*T185),"")</f>
        <v/>
      </c>
      <c r="AV185" s="25" t="str">
        <f aca="false">IFERROR(AN185*T185/3600/X185*1000,"")</f>
        <v/>
      </c>
      <c r="AW185" s="26" t="str">
        <f aca="false">IFERROR(Cost_Model!$B$21*K185*T185/3600/X185*1000000,"")</f>
        <v/>
      </c>
      <c r="AX185" s="27" t="str">
        <f aca="false">IF(ISNUMBER(Z185),IF(Z185&lt;=Run_Config!$B$31,"PASS","FAIL"),"")</f>
        <v/>
      </c>
      <c r="AY185" s="27" t="str">
        <f aca="false">IF(ISNUMBER(AH185),IF(AH185&gt;=Run_Config!$B$33,"PASS","FAIL"),"")</f>
        <v/>
      </c>
    </row>
    <row r="186" customFormat="false" ht="15" hidden="false" customHeight="false" outlineLevel="0" collapsed="false">
      <c r="AR186" s="23" t="str">
        <f aca="false">IFERROR(V186/(U186+V186)*100,"")</f>
        <v/>
      </c>
      <c r="AS186" s="24" t="str">
        <f aca="false">IFERROR(AI186/K186,"")</f>
        <v/>
      </c>
      <c r="AT186" s="24" t="str">
        <f aca="false">IFERROR(IF(AN186="","",AN186*T186/3600),"")</f>
        <v/>
      </c>
      <c r="AU186" s="25" t="str">
        <f aca="false">IFERROR(X186/(AN186*T186),"")</f>
        <v/>
      </c>
      <c r="AV186" s="25" t="str">
        <f aca="false">IFERROR(AN186*T186/3600/X186*1000,"")</f>
        <v/>
      </c>
      <c r="AW186" s="26" t="str">
        <f aca="false">IFERROR(Cost_Model!$B$21*K186*T186/3600/X186*1000000,"")</f>
        <v/>
      </c>
      <c r="AX186" s="27" t="str">
        <f aca="false">IF(ISNUMBER(Z186),IF(Z186&lt;=Run_Config!$B$31,"PASS","FAIL"),"")</f>
        <v/>
      </c>
      <c r="AY186" s="27" t="str">
        <f aca="false">IF(ISNUMBER(AH186),IF(AH186&gt;=Run_Config!$B$33,"PASS","FAIL"),"")</f>
        <v/>
      </c>
    </row>
    <row r="187" customFormat="false" ht="15" hidden="false" customHeight="false" outlineLevel="0" collapsed="false">
      <c r="AR187" s="23" t="str">
        <f aca="false">IFERROR(V187/(U187+V187)*100,"")</f>
        <v/>
      </c>
      <c r="AS187" s="24" t="str">
        <f aca="false">IFERROR(AI187/K187,"")</f>
        <v/>
      </c>
      <c r="AT187" s="24" t="str">
        <f aca="false">IFERROR(IF(AN187="","",AN187*T187/3600),"")</f>
        <v/>
      </c>
      <c r="AU187" s="25" t="str">
        <f aca="false">IFERROR(X187/(AN187*T187),"")</f>
        <v/>
      </c>
      <c r="AV187" s="25" t="str">
        <f aca="false">IFERROR(AN187*T187/3600/X187*1000,"")</f>
        <v/>
      </c>
      <c r="AW187" s="26" t="str">
        <f aca="false">IFERROR(Cost_Model!$B$21*K187*T187/3600/X187*1000000,"")</f>
        <v/>
      </c>
      <c r="AX187" s="27" t="str">
        <f aca="false">IF(ISNUMBER(Z187),IF(Z187&lt;=Run_Config!$B$31,"PASS","FAIL"),"")</f>
        <v/>
      </c>
      <c r="AY187" s="27" t="str">
        <f aca="false">IF(ISNUMBER(AH187),IF(AH187&gt;=Run_Config!$B$33,"PASS","FAIL"),"")</f>
        <v/>
      </c>
    </row>
    <row r="188" customFormat="false" ht="15" hidden="false" customHeight="false" outlineLevel="0" collapsed="false">
      <c r="AR188" s="23" t="str">
        <f aca="false">IFERROR(V188/(U188+V188)*100,"")</f>
        <v/>
      </c>
      <c r="AS188" s="24" t="str">
        <f aca="false">IFERROR(AI188/K188,"")</f>
        <v/>
      </c>
      <c r="AT188" s="24" t="str">
        <f aca="false">IFERROR(IF(AN188="","",AN188*T188/3600),"")</f>
        <v/>
      </c>
      <c r="AU188" s="25" t="str">
        <f aca="false">IFERROR(X188/(AN188*T188),"")</f>
        <v/>
      </c>
      <c r="AV188" s="25" t="str">
        <f aca="false">IFERROR(AN188*T188/3600/X188*1000,"")</f>
        <v/>
      </c>
      <c r="AW188" s="26" t="str">
        <f aca="false">IFERROR(Cost_Model!$B$21*K188*T188/3600/X188*1000000,"")</f>
        <v/>
      </c>
      <c r="AX188" s="27" t="str">
        <f aca="false">IF(ISNUMBER(Z188),IF(Z188&lt;=Run_Config!$B$31,"PASS","FAIL"),"")</f>
        <v/>
      </c>
      <c r="AY188" s="27" t="str">
        <f aca="false">IF(ISNUMBER(AH188),IF(AH188&gt;=Run_Config!$B$33,"PASS","FAIL"),"")</f>
        <v/>
      </c>
    </row>
    <row r="189" customFormat="false" ht="15" hidden="false" customHeight="false" outlineLevel="0" collapsed="false">
      <c r="AR189" s="23" t="str">
        <f aca="false">IFERROR(V189/(U189+V189)*100,"")</f>
        <v/>
      </c>
      <c r="AS189" s="24" t="str">
        <f aca="false">IFERROR(AI189/K189,"")</f>
        <v/>
      </c>
      <c r="AT189" s="24" t="str">
        <f aca="false">IFERROR(IF(AN189="","",AN189*T189/3600),"")</f>
        <v/>
      </c>
      <c r="AU189" s="25" t="str">
        <f aca="false">IFERROR(X189/(AN189*T189),"")</f>
        <v/>
      </c>
      <c r="AV189" s="25" t="str">
        <f aca="false">IFERROR(AN189*T189/3600/X189*1000,"")</f>
        <v/>
      </c>
      <c r="AW189" s="26" t="str">
        <f aca="false">IFERROR(Cost_Model!$B$21*K189*T189/3600/X189*1000000,"")</f>
        <v/>
      </c>
      <c r="AX189" s="27" t="str">
        <f aca="false">IF(ISNUMBER(Z189),IF(Z189&lt;=Run_Config!$B$31,"PASS","FAIL"),"")</f>
        <v/>
      </c>
      <c r="AY189" s="27" t="str">
        <f aca="false">IF(ISNUMBER(AH189),IF(AH189&gt;=Run_Config!$B$33,"PASS","FAIL"),"")</f>
        <v/>
      </c>
    </row>
    <row r="190" customFormat="false" ht="15" hidden="false" customHeight="false" outlineLevel="0" collapsed="false">
      <c r="AR190" s="23" t="str">
        <f aca="false">IFERROR(V190/(U190+V190)*100,"")</f>
        <v/>
      </c>
      <c r="AS190" s="24" t="str">
        <f aca="false">IFERROR(AI190/K190,"")</f>
        <v/>
      </c>
      <c r="AT190" s="24" t="str">
        <f aca="false">IFERROR(IF(AN190="","",AN190*T190/3600),"")</f>
        <v/>
      </c>
      <c r="AU190" s="25" t="str">
        <f aca="false">IFERROR(X190/(AN190*T190),"")</f>
        <v/>
      </c>
      <c r="AV190" s="25" t="str">
        <f aca="false">IFERROR(AN190*T190/3600/X190*1000,"")</f>
        <v/>
      </c>
      <c r="AW190" s="26" t="str">
        <f aca="false">IFERROR(Cost_Model!$B$21*K190*T190/3600/X190*1000000,"")</f>
        <v/>
      </c>
      <c r="AX190" s="27" t="str">
        <f aca="false">IF(ISNUMBER(Z190),IF(Z190&lt;=Run_Config!$B$31,"PASS","FAIL"),"")</f>
        <v/>
      </c>
      <c r="AY190" s="27" t="str">
        <f aca="false">IF(ISNUMBER(AH190),IF(AH190&gt;=Run_Config!$B$33,"PASS","FAIL"),"")</f>
        <v/>
      </c>
    </row>
    <row r="191" customFormat="false" ht="15" hidden="false" customHeight="false" outlineLevel="0" collapsed="false">
      <c r="AR191" s="23" t="str">
        <f aca="false">IFERROR(V191/(U191+V191)*100,"")</f>
        <v/>
      </c>
      <c r="AS191" s="24" t="str">
        <f aca="false">IFERROR(AI191/K191,"")</f>
        <v/>
      </c>
      <c r="AT191" s="24" t="str">
        <f aca="false">IFERROR(IF(AN191="","",AN191*T191/3600),"")</f>
        <v/>
      </c>
      <c r="AU191" s="25" t="str">
        <f aca="false">IFERROR(X191/(AN191*T191),"")</f>
        <v/>
      </c>
      <c r="AV191" s="25" t="str">
        <f aca="false">IFERROR(AN191*T191/3600/X191*1000,"")</f>
        <v/>
      </c>
      <c r="AW191" s="26" t="str">
        <f aca="false">IFERROR(Cost_Model!$B$21*K191*T191/3600/X191*1000000,"")</f>
        <v/>
      </c>
      <c r="AX191" s="27" t="str">
        <f aca="false">IF(ISNUMBER(Z191),IF(Z191&lt;=Run_Config!$B$31,"PASS","FAIL"),"")</f>
        <v/>
      </c>
      <c r="AY191" s="27" t="str">
        <f aca="false">IF(ISNUMBER(AH191),IF(AH191&gt;=Run_Config!$B$33,"PASS","FAIL"),"")</f>
        <v/>
      </c>
    </row>
    <row r="192" customFormat="false" ht="15" hidden="false" customHeight="false" outlineLevel="0" collapsed="false">
      <c r="AR192" s="23" t="str">
        <f aca="false">IFERROR(V192/(U192+V192)*100,"")</f>
        <v/>
      </c>
      <c r="AS192" s="24" t="str">
        <f aca="false">IFERROR(AI192/K192,"")</f>
        <v/>
      </c>
      <c r="AT192" s="24" t="str">
        <f aca="false">IFERROR(IF(AN192="","",AN192*T192/3600),"")</f>
        <v/>
      </c>
      <c r="AU192" s="25" t="str">
        <f aca="false">IFERROR(X192/(AN192*T192),"")</f>
        <v/>
      </c>
      <c r="AV192" s="25" t="str">
        <f aca="false">IFERROR(AN192*T192/3600/X192*1000,"")</f>
        <v/>
      </c>
      <c r="AW192" s="26" t="str">
        <f aca="false">IFERROR(Cost_Model!$B$21*K192*T192/3600/X192*1000000,"")</f>
        <v/>
      </c>
      <c r="AX192" s="27" t="str">
        <f aca="false">IF(ISNUMBER(Z192),IF(Z192&lt;=Run_Config!$B$31,"PASS","FAIL"),"")</f>
        <v/>
      </c>
      <c r="AY192" s="27" t="str">
        <f aca="false">IF(ISNUMBER(AH192),IF(AH192&gt;=Run_Config!$B$33,"PASS","FAIL"),"")</f>
        <v/>
      </c>
    </row>
    <row r="193" customFormat="false" ht="15" hidden="false" customHeight="false" outlineLevel="0" collapsed="false">
      <c r="AR193" s="23" t="str">
        <f aca="false">IFERROR(V193/(U193+V193)*100,"")</f>
        <v/>
      </c>
      <c r="AS193" s="24" t="str">
        <f aca="false">IFERROR(AI193/K193,"")</f>
        <v/>
      </c>
      <c r="AT193" s="24" t="str">
        <f aca="false">IFERROR(IF(AN193="","",AN193*T193/3600),"")</f>
        <v/>
      </c>
      <c r="AU193" s="25" t="str">
        <f aca="false">IFERROR(X193/(AN193*T193),"")</f>
        <v/>
      </c>
      <c r="AV193" s="25" t="str">
        <f aca="false">IFERROR(AN193*T193/3600/X193*1000,"")</f>
        <v/>
      </c>
      <c r="AW193" s="26" t="str">
        <f aca="false">IFERROR(Cost_Model!$B$21*K193*T193/3600/X193*1000000,"")</f>
        <v/>
      </c>
      <c r="AX193" s="27" t="str">
        <f aca="false">IF(ISNUMBER(Z193),IF(Z193&lt;=Run_Config!$B$31,"PASS","FAIL"),"")</f>
        <v/>
      </c>
      <c r="AY193" s="27" t="str">
        <f aca="false">IF(ISNUMBER(AH193),IF(AH193&gt;=Run_Config!$B$33,"PASS","FAIL"),"")</f>
        <v/>
      </c>
    </row>
    <row r="194" customFormat="false" ht="15" hidden="false" customHeight="false" outlineLevel="0" collapsed="false">
      <c r="AR194" s="23" t="str">
        <f aca="false">IFERROR(V194/(U194+V194)*100,"")</f>
        <v/>
      </c>
      <c r="AS194" s="24" t="str">
        <f aca="false">IFERROR(AI194/K194,"")</f>
        <v/>
      </c>
      <c r="AT194" s="24" t="str">
        <f aca="false">IFERROR(IF(AN194="","",AN194*T194/3600),"")</f>
        <v/>
      </c>
      <c r="AU194" s="25" t="str">
        <f aca="false">IFERROR(X194/(AN194*T194),"")</f>
        <v/>
      </c>
      <c r="AV194" s="25" t="str">
        <f aca="false">IFERROR(AN194*T194/3600/X194*1000,"")</f>
        <v/>
      </c>
      <c r="AW194" s="26" t="str">
        <f aca="false">IFERROR(Cost_Model!$B$21*K194*T194/3600/X194*1000000,"")</f>
        <v/>
      </c>
      <c r="AX194" s="27" t="str">
        <f aca="false">IF(ISNUMBER(Z194),IF(Z194&lt;=Run_Config!$B$31,"PASS","FAIL"),"")</f>
        <v/>
      </c>
      <c r="AY194" s="27" t="str">
        <f aca="false">IF(ISNUMBER(AH194),IF(AH194&gt;=Run_Config!$B$33,"PASS","FAIL"),"")</f>
        <v/>
      </c>
    </row>
    <row r="195" customFormat="false" ht="15" hidden="false" customHeight="false" outlineLevel="0" collapsed="false">
      <c r="AR195" s="23" t="str">
        <f aca="false">IFERROR(V195/(U195+V195)*100,"")</f>
        <v/>
      </c>
      <c r="AS195" s="24" t="str">
        <f aca="false">IFERROR(AI195/K195,"")</f>
        <v/>
      </c>
      <c r="AT195" s="24" t="str">
        <f aca="false">IFERROR(IF(AN195="","",AN195*T195/3600),"")</f>
        <v/>
      </c>
      <c r="AU195" s="25" t="str">
        <f aca="false">IFERROR(X195/(AN195*T195),"")</f>
        <v/>
      </c>
      <c r="AV195" s="25" t="str">
        <f aca="false">IFERROR(AN195*T195/3600/X195*1000,"")</f>
        <v/>
      </c>
      <c r="AW195" s="26" t="str">
        <f aca="false">IFERROR(Cost_Model!$B$21*K195*T195/3600/X195*1000000,"")</f>
        <v/>
      </c>
      <c r="AX195" s="27" t="str">
        <f aca="false">IF(ISNUMBER(Z195),IF(Z195&lt;=Run_Config!$B$31,"PASS","FAIL"),"")</f>
        <v/>
      </c>
      <c r="AY195" s="27" t="str">
        <f aca="false">IF(ISNUMBER(AH195),IF(AH195&gt;=Run_Config!$B$33,"PASS","FAIL"),"")</f>
        <v/>
      </c>
    </row>
    <row r="196" customFormat="false" ht="15" hidden="false" customHeight="false" outlineLevel="0" collapsed="false">
      <c r="AR196" s="23" t="str">
        <f aca="false">IFERROR(V196/(U196+V196)*100,"")</f>
        <v/>
      </c>
      <c r="AS196" s="24" t="str">
        <f aca="false">IFERROR(AI196/K196,"")</f>
        <v/>
      </c>
      <c r="AT196" s="24" t="str">
        <f aca="false">IFERROR(IF(AN196="","",AN196*T196/3600),"")</f>
        <v/>
      </c>
      <c r="AU196" s="25" t="str">
        <f aca="false">IFERROR(X196/(AN196*T196),"")</f>
        <v/>
      </c>
      <c r="AV196" s="25" t="str">
        <f aca="false">IFERROR(AN196*T196/3600/X196*1000,"")</f>
        <v/>
      </c>
      <c r="AW196" s="26" t="str">
        <f aca="false">IFERROR(Cost_Model!$B$21*K196*T196/3600/X196*1000000,"")</f>
        <v/>
      </c>
      <c r="AX196" s="27" t="str">
        <f aca="false">IF(ISNUMBER(Z196),IF(Z196&lt;=Run_Config!$B$31,"PASS","FAIL"),"")</f>
        <v/>
      </c>
      <c r="AY196" s="27" t="str">
        <f aca="false">IF(ISNUMBER(AH196),IF(AH196&gt;=Run_Config!$B$33,"PASS","FAIL"),"")</f>
        <v/>
      </c>
    </row>
    <row r="197" customFormat="false" ht="15" hidden="false" customHeight="false" outlineLevel="0" collapsed="false">
      <c r="AR197" s="23" t="str">
        <f aca="false">IFERROR(V197/(U197+V197)*100,"")</f>
        <v/>
      </c>
      <c r="AS197" s="24" t="str">
        <f aca="false">IFERROR(AI197/K197,"")</f>
        <v/>
      </c>
      <c r="AT197" s="24" t="str">
        <f aca="false">IFERROR(IF(AN197="","",AN197*T197/3600),"")</f>
        <v/>
      </c>
      <c r="AU197" s="25" t="str">
        <f aca="false">IFERROR(X197/(AN197*T197),"")</f>
        <v/>
      </c>
      <c r="AV197" s="25" t="str">
        <f aca="false">IFERROR(AN197*T197/3600/X197*1000,"")</f>
        <v/>
      </c>
      <c r="AW197" s="26" t="str">
        <f aca="false">IFERROR(Cost_Model!$B$21*K197*T197/3600/X197*1000000,"")</f>
        <v/>
      </c>
      <c r="AX197" s="27" t="str">
        <f aca="false">IF(ISNUMBER(Z197),IF(Z197&lt;=Run_Config!$B$31,"PASS","FAIL"),"")</f>
        <v/>
      </c>
      <c r="AY197" s="27" t="str">
        <f aca="false">IF(ISNUMBER(AH197),IF(AH197&gt;=Run_Config!$B$33,"PASS","FAIL"),"")</f>
        <v/>
      </c>
    </row>
    <row r="198" customFormat="false" ht="15" hidden="false" customHeight="false" outlineLevel="0" collapsed="false">
      <c r="AR198" s="23" t="str">
        <f aca="false">IFERROR(V198/(U198+V198)*100,"")</f>
        <v/>
      </c>
      <c r="AS198" s="24" t="str">
        <f aca="false">IFERROR(AI198/K198,"")</f>
        <v/>
      </c>
      <c r="AT198" s="24" t="str">
        <f aca="false">IFERROR(IF(AN198="","",AN198*T198/3600),"")</f>
        <v/>
      </c>
      <c r="AU198" s="25" t="str">
        <f aca="false">IFERROR(X198/(AN198*T198),"")</f>
        <v/>
      </c>
      <c r="AV198" s="25" t="str">
        <f aca="false">IFERROR(AN198*T198/3600/X198*1000,"")</f>
        <v/>
      </c>
      <c r="AW198" s="26" t="str">
        <f aca="false">IFERROR(Cost_Model!$B$21*K198*T198/3600/X198*1000000,"")</f>
        <v/>
      </c>
      <c r="AX198" s="27" t="str">
        <f aca="false">IF(ISNUMBER(Z198),IF(Z198&lt;=Run_Config!$B$31,"PASS","FAIL"),"")</f>
        <v/>
      </c>
      <c r="AY198" s="27" t="str">
        <f aca="false">IF(ISNUMBER(AH198),IF(AH198&gt;=Run_Config!$B$33,"PASS","FAIL"),"")</f>
        <v/>
      </c>
    </row>
    <row r="199" customFormat="false" ht="15" hidden="false" customHeight="false" outlineLevel="0" collapsed="false">
      <c r="AR199" s="23" t="str">
        <f aca="false">IFERROR(V199/(U199+V199)*100,"")</f>
        <v/>
      </c>
      <c r="AS199" s="24" t="str">
        <f aca="false">IFERROR(AI199/K199,"")</f>
        <v/>
      </c>
      <c r="AT199" s="24" t="str">
        <f aca="false">IFERROR(IF(AN199="","",AN199*T199/3600),"")</f>
        <v/>
      </c>
      <c r="AU199" s="25" t="str">
        <f aca="false">IFERROR(X199/(AN199*T199),"")</f>
        <v/>
      </c>
      <c r="AV199" s="25" t="str">
        <f aca="false">IFERROR(AN199*T199/3600/X199*1000,"")</f>
        <v/>
      </c>
      <c r="AW199" s="26" t="str">
        <f aca="false">IFERROR(Cost_Model!$B$21*K199*T199/3600/X199*1000000,"")</f>
        <v/>
      </c>
      <c r="AX199" s="27" t="str">
        <f aca="false">IF(ISNUMBER(Z199),IF(Z199&lt;=Run_Config!$B$31,"PASS","FAIL"),"")</f>
        <v/>
      </c>
      <c r="AY199" s="27" t="str">
        <f aca="false">IF(ISNUMBER(AH199),IF(AH199&gt;=Run_Config!$B$33,"PASS","FAIL"),"")</f>
        <v/>
      </c>
    </row>
    <row r="200" customFormat="false" ht="15" hidden="false" customHeight="false" outlineLevel="0" collapsed="false">
      <c r="AR200" s="23" t="str">
        <f aca="false">IFERROR(V200/(U200+V200)*100,"")</f>
        <v/>
      </c>
      <c r="AS200" s="24" t="str">
        <f aca="false">IFERROR(AI200/K200,"")</f>
        <v/>
      </c>
      <c r="AT200" s="24" t="str">
        <f aca="false">IFERROR(IF(AN200="","",AN200*T200/3600),"")</f>
        <v/>
      </c>
      <c r="AU200" s="25" t="str">
        <f aca="false">IFERROR(X200/(AN200*T200),"")</f>
        <v/>
      </c>
      <c r="AV200" s="25" t="str">
        <f aca="false">IFERROR(AN200*T200/3600/X200*1000,"")</f>
        <v/>
      </c>
      <c r="AW200" s="26" t="str">
        <f aca="false">IFERROR(Cost_Model!$B$21*K200*T200/3600/X200*1000000,"")</f>
        <v/>
      </c>
      <c r="AX200" s="27" t="str">
        <f aca="false">IF(ISNUMBER(Z200),IF(Z200&lt;=Run_Config!$B$31,"PASS","FAIL"),"")</f>
        <v/>
      </c>
      <c r="AY200" s="27" t="str">
        <f aca="false">IF(ISNUMBER(AH200),IF(AH200&gt;=Run_Config!$B$33,"PASS","FAIL"),"")</f>
        <v/>
      </c>
    </row>
    <row r="201" customFormat="false" ht="15" hidden="false" customHeight="false" outlineLevel="0" collapsed="false">
      <c r="AR201" s="23" t="str">
        <f aca="false">IFERROR(V201/(U201+V201)*100,"")</f>
        <v/>
      </c>
      <c r="AS201" s="24" t="str">
        <f aca="false">IFERROR(AI201/K201,"")</f>
        <v/>
      </c>
      <c r="AT201" s="24" t="str">
        <f aca="false">IFERROR(IF(AN201="","",AN201*T201/3600),"")</f>
        <v/>
      </c>
      <c r="AU201" s="25" t="str">
        <f aca="false">IFERROR(X201/(AN201*T201),"")</f>
        <v/>
      </c>
      <c r="AV201" s="25" t="str">
        <f aca="false">IFERROR(AN201*T201/3600/X201*1000,"")</f>
        <v/>
      </c>
      <c r="AW201" s="26" t="str">
        <f aca="false">IFERROR(Cost_Model!$B$21*K201*T201/3600/X201*1000000,"")</f>
        <v/>
      </c>
      <c r="AX201" s="27" t="str">
        <f aca="false">IF(ISNUMBER(Z201),IF(Z201&lt;=Run_Config!$B$31,"PASS","FAIL"),"")</f>
        <v/>
      </c>
      <c r="AY201" s="27" t="str">
        <f aca="false">IF(ISNUMBER(AH201),IF(AH201&gt;=Run_Config!$B$33,"PASS","FAIL"),"")</f>
        <v/>
      </c>
    </row>
    <row r="202" customFormat="false" ht="15" hidden="false" customHeight="false" outlineLevel="0" collapsed="false">
      <c r="AR202" s="23" t="str">
        <f aca="false">IFERROR(V202/(U202+V202)*100,"")</f>
        <v/>
      </c>
      <c r="AS202" s="24" t="str">
        <f aca="false">IFERROR(AI202/K202,"")</f>
        <v/>
      </c>
      <c r="AT202" s="24" t="str">
        <f aca="false">IFERROR(IF(AN202="","",AN202*T202/3600),"")</f>
        <v/>
      </c>
      <c r="AU202" s="25" t="str">
        <f aca="false">IFERROR(X202/(AN202*T202),"")</f>
        <v/>
      </c>
      <c r="AV202" s="25" t="str">
        <f aca="false">IFERROR(AN202*T202/3600/X202*1000,"")</f>
        <v/>
      </c>
      <c r="AW202" s="26" t="str">
        <f aca="false">IFERROR(Cost_Model!$B$21*K202*T202/3600/X202*1000000,"")</f>
        <v/>
      </c>
      <c r="AX202" s="27" t="str">
        <f aca="false">IF(ISNUMBER(Z202),IF(Z202&lt;=Run_Config!$B$31,"PASS","FAIL"),"")</f>
        <v/>
      </c>
      <c r="AY202" s="27" t="str">
        <f aca="false">IF(ISNUMBER(AH202),IF(AH202&gt;=Run_Config!$B$33,"PASS","FAIL"),"")</f>
        <v/>
      </c>
    </row>
    <row r="203" customFormat="false" ht="15" hidden="false" customHeight="false" outlineLevel="0" collapsed="false">
      <c r="AR203" s="23" t="str">
        <f aca="false">IFERROR(V203/(U203+V203)*100,"")</f>
        <v/>
      </c>
      <c r="AS203" s="24" t="str">
        <f aca="false">IFERROR(AI203/K203,"")</f>
        <v/>
      </c>
      <c r="AT203" s="24" t="str">
        <f aca="false">IFERROR(IF(AN203="","",AN203*T203/3600),"")</f>
        <v/>
      </c>
      <c r="AU203" s="25" t="str">
        <f aca="false">IFERROR(X203/(AN203*T203),"")</f>
        <v/>
      </c>
      <c r="AV203" s="25" t="str">
        <f aca="false">IFERROR(AN203*T203/3600/X203*1000,"")</f>
        <v/>
      </c>
      <c r="AW203" s="26" t="str">
        <f aca="false">IFERROR(Cost_Model!$B$21*K203*T203/3600/X203*1000000,"")</f>
        <v/>
      </c>
      <c r="AX203" s="27" t="str">
        <f aca="false">IF(ISNUMBER(Z203),IF(Z203&lt;=Run_Config!$B$31,"PASS","FAIL"),"")</f>
        <v/>
      </c>
      <c r="AY203" s="27" t="str">
        <f aca="false">IF(ISNUMBER(AH203),IF(AH203&gt;=Run_Config!$B$33,"PASS","FAIL"),"")</f>
        <v/>
      </c>
    </row>
    <row r="204" customFormat="false" ht="15" hidden="false" customHeight="false" outlineLevel="0" collapsed="false">
      <c r="AR204" s="23" t="str">
        <f aca="false">IFERROR(V204/(U204+V204)*100,"")</f>
        <v/>
      </c>
      <c r="AS204" s="24" t="str">
        <f aca="false">IFERROR(AI204/K204,"")</f>
        <v/>
      </c>
      <c r="AT204" s="24" t="str">
        <f aca="false">IFERROR(IF(AN204="","",AN204*T204/3600),"")</f>
        <v/>
      </c>
      <c r="AU204" s="25" t="str">
        <f aca="false">IFERROR(X204/(AN204*T204),"")</f>
        <v/>
      </c>
      <c r="AV204" s="25" t="str">
        <f aca="false">IFERROR(AN204*T204/3600/X204*1000,"")</f>
        <v/>
      </c>
      <c r="AW204" s="26" t="str">
        <f aca="false">IFERROR(Cost_Model!$B$21*K204*T204/3600/X204*1000000,"")</f>
        <v/>
      </c>
      <c r="AX204" s="27" t="str">
        <f aca="false">IF(ISNUMBER(Z204),IF(Z204&lt;=Run_Config!$B$31,"PASS","FAIL"),"")</f>
        <v/>
      </c>
      <c r="AY204" s="27" t="str">
        <f aca="false">IF(ISNUMBER(AH204),IF(AH204&gt;=Run_Config!$B$33,"PASS","FAIL"),"")</f>
        <v/>
      </c>
    </row>
    <row r="205" customFormat="false" ht="15" hidden="false" customHeight="false" outlineLevel="0" collapsed="false">
      <c r="AR205" s="23" t="str">
        <f aca="false">IFERROR(V205/(U205+V205)*100,"")</f>
        <v/>
      </c>
      <c r="AS205" s="24" t="str">
        <f aca="false">IFERROR(AI205/K205,"")</f>
        <v/>
      </c>
      <c r="AT205" s="24" t="str">
        <f aca="false">IFERROR(IF(AN205="","",AN205*T205/3600),"")</f>
        <v/>
      </c>
      <c r="AU205" s="25" t="str">
        <f aca="false">IFERROR(X205/(AN205*T205),"")</f>
        <v/>
      </c>
      <c r="AV205" s="25" t="str">
        <f aca="false">IFERROR(AN205*T205/3600/X205*1000,"")</f>
        <v/>
      </c>
      <c r="AW205" s="26" t="str">
        <f aca="false">IFERROR(Cost_Model!$B$21*K205*T205/3600/X205*1000000,"")</f>
        <v/>
      </c>
      <c r="AX205" s="27" t="str">
        <f aca="false">IF(ISNUMBER(Z205),IF(Z205&lt;=Run_Config!$B$31,"PASS","FAIL"),"")</f>
        <v/>
      </c>
      <c r="AY205" s="27" t="str">
        <f aca="false">IF(ISNUMBER(AH205),IF(AH205&gt;=Run_Config!$B$33,"PASS","FAIL"),"")</f>
        <v/>
      </c>
    </row>
    <row r="206" customFormat="false" ht="15" hidden="false" customHeight="false" outlineLevel="0" collapsed="false">
      <c r="AR206" s="23" t="str">
        <f aca="false">IFERROR(V206/(U206+V206)*100,"")</f>
        <v/>
      </c>
      <c r="AS206" s="24" t="str">
        <f aca="false">IFERROR(AI206/K206,"")</f>
        <v/>
      </c>
      <c r="AT206" s="24" t="str">
        <f aca="false">IFERROR(IF(AN206="","",AN206*T206/3600),"")</f>
        <v/>
      </c>
      <c r="AU206" s="25" t="str">
        <f aca="false">IFERROR(X206/(AN206*T206),"")</f>
        <v/>
      </c>
      <c r="AV206" s="25" t="str">
        <f aca="false">IFERROR(AN206*T206/3600/X206*1000,"")</f>
        <v/>
      </c>
      <c r="AW206" s="26" t="str">
        <f aca="false">IFERROR(Cost_Model!$B$21*K206*T206/3600/X206*1000000,"")</f>
        <v/>
      </c>
      <c r="AX206" s="27" t="str">
        <f aca="false">IF(ISNUMBER(Z206),IF(Z206&lt;=Run_Config!$B$31,"PASS","FAIL"),"")</f>
        <v/>
      </c>
      <c r="AY206" s="27" t="str">
        <f aca="false">IF(ISNUMBER(AH206),IF(AH206&gt;=Run_Config!$B$33,"PASS","FAIL"),"")</f>
        <v/>
      </c>
    </row>
    <row r="207" customFormat="false" ht="15" hidden="false" customHeight="false" outlineLevel="0" collapsed="false">
      <c r="AR207" s="23" t="str">
        <f aca="false">IFERROR(V207/(U207+V207)*100,"")</f>
        <v/>
      </c>
      <c r="AS207" s="24" t="str">
        <f aca="false">IFERROR(AI207/K207,"")</f>
        <v/>
      </c>
      <c r="AT207" s="24" t="str">
        <f aca="false">IFERROR(IF(AN207="","",AN207*T207/3600),"")</f>
        <v/>
      </c>
      <c r="AU207" s="25" t="str">
        <f aca="false">IFERROR(X207/(AN207*T207),"")</f>
        <v/>
      </c>
      <c r="AV207" s="25" t="str">
        <f aca="false">IFERROR(AN207*T207/3600/X207*1000,"")</f>
        <v/>
      </c>
      <c r="AW207" s="26" t="str">
        <f aca="false">IFERROR(Cost_Model!$B$21*K207*T207/3600/X207*1000000,"")</f>
        <v/>
      </c>
      <c r="AX207" s="27" t="str">
        <f aca="false">IF(ISNUMBER(Z207),IF(Z207&lt;=Run_Config!$B$31,"PASS","FAIL"),"")</f>
        <v/>
      </c>
      <c r="AY207" s="27" t="str">
        <f aca="false">IF(ISNUMBER(AH207),IF(AH207&gt;=Run_Config!$B$33,"PASS","FAIL"),"")</f>
        <v/>
      </c>
    </row>
    <row r="208" customFormat="false" ht="15" hidden="false" customHeight="false" outlineLevel="0" collapsed="false">
      <c r="AR208" s="23" t="str">
        <f aca="false">IFERROR(V208/(U208+V208)*100,"")</f>
        <v/>
      </c>
      <c r="AS208" s="24" t="str">
        <f aca="false">IFERROR(AI208/K208,"")</f>
        <v/>
      </c>
      <c r="AT208" s="24" t="str">
        <f aca="false">IFERROR(IF(AN208="","",AN208*T208/3600),"")</f>
        <v/>
      </c>
      <c r="AU208" s="25" t="str">
        <f aca="false">IFERROR(X208/(AN208*T208),"")</f>
        <v/>
      </c>
      <c r="AV208" s="25" t="str">
        <f aca="false">IFERROR(AN208*T208/3600/X208*1000,"")</f>
        <v/>
      </c>
      <c r="AW208" s="26" t="str">
        <f aca="false">IFERROR(Cost_Model!$B$21*K208*T208/3600/X208*1000000,"")</f>
        <v/>
      </c>
      <c r="AX208" s="27" t="str">
        <f aca="false">IF(ISNUMBER(Z208),IF(Z208&lt;=Run_Config!$B$31,"PASS","FAIL"),"")</f>
        <v/>
      </c>
      <c r="AY208" s="27" t="str">
        <f aca="false">IF(ISNUMBER(AH208),IF(AH208&gt;=Run_Config!$B$33,"PASS","FAIL"),"")</f>
        <v/>
      </c>
    </row>
    <row r="209" customFormat="false" ht="15" hidden="false" customHeight="false" outlineLevel="0" collapsed="false">
      <c r="AR209" s="23" t="str">
        <f aca="false">IFERROR(V209/(U209+V209)*100,"")</f>
        <v/>
      </c>
      <c r="AS209" s="24" t="str">
        <f aca="false">IFERROR(AI209/K209,"")</f>
        <v/>
      </c>
      <c r="AT209" s="24" t="str">
        <f aca="false">IFERROR(IF(AN209="","",AN209*T209/3600),"")</f>
        <v/>
      </c>
      <c r="AU209" s="25" t="str">
        <f aca="false">IFERROR(X209/(AN209*T209),"")</f>
        <v/>
      </c>
      <c r="AV209" s="25" t="str">
        <f aca="false">IFERROR(AN209*T209/3600/X209*1000,"")</f>
        <v/>
      </c>
      <c r="AW209" s="26" t="str">
        <f aca="false">IFERROR(Cost_Model!$B$21*K209*T209/3600/X209*1000000,"")</f>
        <v/>
      </c>
      <c r="AX209" s="27" t="str">
        <f aca="false">IF(ISNUMBER(Z209),IF(Z209&lt;=Run_Config!$B$31,"PASS","FAIL"),"")</f>
        <v/>
      </c>
      <c r="AY209" s="27" t="str">
        <f aca="false">IF(ISNUMBER(AH209),IF(AH209&gt;=Run_Config!$B$33,"PASS","FAIL"),"")</f>
        <v/>
      </c>
    </row>
    <row r="210" customFormat="false" ht="15" hidden="false" customHeight="false" outlineLevel="0" collapsed="false">
      <c r="AR210" s="23" t="str">
        <f aca="false">IFERROR(V210/(U210+V210)*100,"")</f>
        <v/>
      </c>
      <c r="AS210" s="24" t="str">
        <f aca="false">IFERROR(AI210/K210,"")</f>
        <v/>
      </c>
      <c r="AT210" s="24" t="str">
        <f aca="false">IFERROR(IF(AN210="","",AN210*T210/3600),"")</f>
        <v/>
      </c>
      <c r="AU210" s="25" t="str">
        <f aca="false">IFERROR(X210/(AN210*T210),"")</f>
        <v/>
      </c>
      <c r="AV210" s="25" t="str">
        <f aca="false">IFERROR(AN210*T210/3600/X210*1000,"")</f>
        <v/>
      </c>
      <c r="AW210" s="26" t="str">
        <f aca="false">IFERROR(Cost_Model!$B$21*K210*T210/3600/X210*1000000,"")</f>
        <v/>
      </c>
      <c r="AX210" s="27" t="str">
        <f aca="false">IF(ISNUMBER(Z210),IF(Z210&lt;=Run_Config!$B$31,"PASS","FAIL"),"")</f>
        <v/>
      </c>
      <c r="AY210" s="27" t="str">
        <f aca="false">IF(ISNUMBER(AH210),IF(AH210&gt;=Run_Config!$B$33,"PASS","FAIL"),"")</f>
        <v/>
      </c>
    </row>
    <row r="211" customFormat="false" ht="15" hidden="false" customHeight="false" outlineLevel="0" collapsed="false">
      <c r="AR211" s="23" t="str">
        <f aca="false">IFERROR(V211/(U211+V211)*100,"")</f>
        <v/>
      </c>
      <c r="AS211" s="24" t="str">
        <f aca="false">IFERROR(AI211/K211,"")</f>
        <v/>
      </c>
      <c r="AT211" s="24" t="str">
        <f aca="false">IFERROR(IF(AN211="","",AN211*T211/3600),"")</f>
        <v/>
      </c>
      <c r="AU211" s="25" t="str">
        <f aca="false">IFERROR(X211/(AN211*T211),"")</f>
        <v/>
      </c>
      <c r="AV211" s="25" t="str">
        <f aca="false">IFERROR(AN211*T211/3600/X211*1000,"")</f>
        <v/>
      </c>
      <c r="AW211" s="26" t="str">
        <f aca="false">IFERROR(Cost_Model!$B$21*K211*T211/3600/X211*1000000,"")</f>
        <v/>
      </c>
      <c r="AX211" s="27" t="str">
        <f aca="false">IF(ISNUMBER(Z211),IF(Z211&lt;=Run_Config!$B$31,"PASS","FAIL"),"")</f>
        <v/>
      </c>
      <c r="AY211" s="27" t="str">
        <f aca="false">IF(ISNUMBER(AH211),IF(AH211&gt;=Run_Config!$B$33,"PASS","FAIL"),"")</f>
        <v/>
      </c>
    </row>
    <row r="212" customFormat="false" ht="15" hidden="false" customHeight="false" outlineLevel="0" collapsed="false">
      <c r="AR212" s="23" t="str">
        <f aca="false">IFERROR(V212/(U212+V212)*100,"")</f>
        <v/>
      </c>
      <c r="AS212" s="24" t="str">
        <f aca="false">IFERROR(AI212/K212,"")</f>
        <v/>
      </c>
      <c r="AT212" s="24" t="str">
        <f aca="false">IFERROR(IF(AN212="","",AN212*T212/3600),"")</f>
        <v/>
      </c>
      <c r="AU212" s="25" t="str">
        <f aca="false">IFERROR(X212/(AN212*T212),"")</f>
        <v/>
      </c>
      <c r="AV212" s="25" t="str">
        <f aca="false">IFERROR(AN212*T212/3600/X212*1000,"")</f>
        <v/>
      </c>
      <c r="AW212" s="26" t="str">
        <f aca="false">IFERROR(Cost_Model!$B$21*K212*T212/3600/X212*1000000,"")</f>
        <v/>
      </c>
      <c r="AX212" s="27" t="str">
        <f aca="false">IF(ISNUMBER(Z212),IF(Z212&lt;=Run_Config!$B$31,"PASS","FAIL"),"")</f>
        <v/>
      </c>
      <c r="AY212" s="27" t="str">
        <f aca="false">IF(ISNUMBER(AH212),IF(AH212&gt;=Run_Config!$B$33,"PASS","FAIL"),"")</f>
        <v/>
      </c>
    </row>
    <row r="213" customFormat="false" ht="15" hidden="false" customHeight="false" outlineLevel="0" collapsed="false">
      <c r="AR213" s="23" t="str">
        <f aca="false">IFERROR(V213/(U213+V213)*100,"")</f>
        <v/>
      </c>
      <c r="AS213" s="24" t="str">
        <f aca="false">IFERROR(AI213/K213,"")</f>
        <v/>
      </c>
      <c r="AT213" s="24" t="str">
        <f aca="false">IFERROR(IF(AN213="","",AN213*T213/3600),"")</f>
        <v/>
      </c>
      <c r="AU213" s="25" t="str">
        <f aca="false">IFERROR(X213/(AN213*T213),"")</f>
        <v/>
      </c>
      <c r="AV213" s="25" t="str">
        <f aca="false">IFERROR(AN213*T213/3600/X213*1000,"")</f>
        <v/>
      </c>
      <c r="AW213" s="26" t="str">
        <f aca="false">IFERROR(Cost_Model!$B$21*K213*T213/3600/X213*1000000,"")</f>
        <v/>
      </c>
      <c r="AX213" s="27" t="str">
        <f aca="false">IF(ISNUMBER(Z213),IF(Z213&lt;=Run_Config!$B$31,"PASS","FAIL"),"")</f>
        <v/>
      </c>
      <c r="AY213" s="27" t="str">
        <f aca="false">IF(ISNUMBER(AH213),IF(AH213&gt;=Run_Config!$B$33,"PASS","FAIL"),"")</f>
        <v/>
      </c>
    </row>
    <row r="214" customFormat="false" ht="15" hidden="false" customHeight="false" outlineLevel="0" collapsed="false">
      <c r="AR214" s="23" t="str">
        <f aca="false">IFERROR(V214/(U214+V214)*100,"")</f>
        <v/>
      </c>
      <c r="AS214" s="24" t="str">
        <f aca="false">IFERROR(AI214/K214,"")</f>
        <v/>
      </c>
      <c r="AT214" s="24" t="str">
        <f aca="false">IFERROR(IF(AN214="","",AN214*T214/3600),"")</f>
        <v/>
      </c>
      <c r="AU214" s="25" t="str">
        <f aca="false">IFERROR(X214/(AN214*T214),"")</f>
        <v/>
      </c>
      <c r="AV214" s="25" t="str">
        <f aca="false">IFERROR(AN214*T214/3600/X214*1000,"")</f>
        <v/>
      </c>
      <c r="AW214" s="26" t="str">
        <f aca="false">IFERROR(Cost_Model!$B$21*K214*T214/3600/X214*1000000,"")</f>
        <v/>
      </c>
      <c r="AX214" s="27" t="str">
        <f aca="false">IF(ISNUMBER(Z214),IF(Z214&lt;=Run_Config!$B$31,"PASS","FAIL"),"")</f>
        <v/>
      </c>
      <c r="AY214" s="27" t="str">
        <f aca="false">IF(ISNUMBER(AH214),IF(AH214&gt;=Run_Config!$B$33,"PASS","FAIL"),"")</f>
        <v/>
      </c>
    </row>
    <row r="215" customFormat="false" ht="15" hidden="false" customHeight="false" outlineLevel="0" collapsed="false">
      <c r="AR215" s="23" t="str">
        <f aca="false">IFERROR(V215/(U215+V215)*100,"")</f>
        <v/>
      </c>
      <c r="AS215" s="24" t="str">
        <f aca="false">IFERROR(AI215/K215,"")</f>
        <v/>
      </c>
      <c r="AT215" s="24" t="str">
        <f aca="false">IFERROR(IF(AN215="","",AN215*T215/3600),"")</f>
        <v/>
      </c>
      <c r="AU215" s="25" t="str">
        <f aca="false">IFERROR(X215/(AN215*T215),"")</f>
        <v/>
      </c>
      <c r="AV215" s="25" t="str">
        <f aca="false">IFERROR(AN215*T215/3600/X215*1000,"")</f>
        <v/>
      </c>
      <c r="AW215" s="26" t="str">
        <f aca="false">IFERROR(Cost_Model!$B$21*K215*T215/3600/X215*1000000,"")</f>
        <v/>
      </c>
      <c r="AX215" s="27" t="str">
        <f aca="false">IF(ISNUMBER(Z215),IF(Z215&lt;=Run_Config!$B$31,"PASS","FAIL"),"")</f>
        <v/>
      </c>
      <c r="AY215" s="27" t="str">
        <f aca="false">IF(ISNUMBER(AH215),IF(AH215&gt;=Run_Config!$B$33,"PASS","FAIL"),"")</f>
        <v/>
      </c>
    </row>
    <row r="216" customFormat="false" ht="15" hidden="false" customHeight="false" outlineLevel="0" collapsed="false">
      <c r="AR216" s="23" t="str">
        <f aca="false">IFERROR(V216/(U216+V216)*100,"")</f>
        <v/>
      </c>
      <c r="AS216" s="24" t="str">
        <f aca="false">IFERROR(AI216/K216,"")</f>
        <v/>
      </c>
      <c r="AT216" s="24" t="str">
        <f aca="false">IFERROR(IF(AN216="","",AN216*T216/3600),"")</f>
        <v/>
      </c>
      <c r="AU216" s="25" t="str">
        <f aca="false">IFERROR(X216/(AN216*T216),"")</f>
        <v/>
      </c>
      <c r="AV216" s="25" t="str">
        <f aca="false">IFERROR(AN216*T216/3600/X216*1000,"")</f>
        <v/>
      </c>
      <c r="AW216" s="26" t="str">
        <f aca="false">IFERROR(Cost_Model!$B$21*K216*T216/3600/X216*1000000,"")</f>
        <v/>
      </c>
      <c r="AX216" s="27" t="str">
        <f aca="false">IF(ISNUMBER(Z216),IF(Z216&lt;=Run_Config!$B$31,"PASS","FAIL"),"")</f>
        <v/>
      </c>
      <c r="AY216" s="27" t="str">
        <f aca="false">IF(ISNUMBER(AH216),IF(AH216&gt;=Run_Config!$B$33,"PASS","FAIL"),"")</f>
        <v/>
      </c>
    </row>
    <row r="217" customFormat="false" ht="15" hidden="false" customHeight="false" outlineLevel="0" collapsed="false">
      <c r="AR217" s="23" t="str">
        <f aca="false">IFERROR(V217/(U217+V217)*100,"")</f>
        <v/>
      </c>
      <c r="AS217" s="24" t="str">
        <f aca="false">IFERROR(AI217/K217,"")</f>
        <v/>
      </c>
      <c r="AT217" s="24" t="str">
        <f aca="false">IFERROR(IF(AN217="","",AN217*T217/3600),"")</f>
        <v/>
      </c>
      <c r="AU217" s="25" t="str">
        <f aca="false">IFERROR(X217/(AN217*T217),"")</f>
        <v/>
      </c>
      <c r="AV217" s="25" t="str">
        <f aca="false">IFERROR(AN217*T217/3600/X217*1000,"")</f>
        <v/>
      </c>
      <c r="AW217" s="26" t="str">
        <f aca="false">IFERROR(Cost_Model!$B$21*K217*T217/3600/X217*1000000,"")</f>
        <v/>
      </c>
      <c r="AX217" s="27" t="str">
        <f aca="false">IF(ISNUMBER(Z217),IF(Z217&lt;=Run_Config!$B$31,"PASS","FAIL"),"")</f>
        <v/>
      </c>
      <c r="AY217" s="27" t="str">
        <f aca="false">IF(ISNUMBER(AH217),IF(AH217&gt;=Run_Config!$B$33,"PASS","FAIL"),"")</f>
        <v/>
      </c>
    </row>
    <row r="218" customFormat="false" ht="15" hidden="false" customHeight="false" outlineLevel="0" collapsed="false">
      <c r="AR218" s="23" t="str">
        <f aca="false">IFERROR(V218/(U218+V218)*100,"")</f>
        <v/>
      </c>
      <c r="AS218" s="24" t="str">
        <f aca="false">IFERROR(AI218/K218,"")</f>
        <v/>
      </c>
      <c r="AT218" s="24" t="str">
        <f aca="false">IFERROR(IF(AN218="","",AN218*T218/3600),"")</f>
        <v/>
      </c>
      <c r="AU218" s="25" t="str">
        <f aca="false">IFERROR(X218/(AN218*T218),"")</f>
        <v/>
      </c>
      <c r="AV218" s="25" t="str">
        <f aca="false">IFERROR(AN218*T218/3600/X218*1000,"")</f>
        <v/>
      </c>
      <c r="AW218" s="26" t="str">
        <f aca="false">IFERROR(Cost_Model!$B$21*K218*T218/3600/X218*1000000,"")</f>
        <v/>
      </c>
      <c r="AX218" s="27" t="str">
        <f aca="false">IF(ISNUMBER(Z218),IF(Z218&lt;=Run_Config!$B$31,"PASS","FAIL"),"")</f>
        <v/>
      </c>
      <c r="AY218" s="27" t="str">
        <f aca="false">IF(ISNUMBER(AH218),IF(AH218&gt;=Run_Config!$B$33,"PASS","FAIL"),"")</f>
        <v/>
      </c>
    </row>
    <row r="219" customFormat="false" ht="15" hidden="false" customHeight="false" outlineLevel="0" collapsed="false">
      <c r="AR219" s="23" t="str">
        <f aca="false">IFERROR(V219/(U219+V219)*100,"")</f>
        <v/>
      </c>
      <c r="AS219" s="24" t="str">
        <f aca="false">IFERROR(AI219/K219,"")</f>
        <v/>
      </c>
      <c r="AT219" s="24" t="str">
        <f aca="false">IFERROR(IF(AN219="","",AN219*T219/3600),"")</f>
        <v/>
      </c>
      <c r="AU219" s="25" t="str">
        <f aca="false">IFERROR(X219/(AN219*T219),"")</f>
        <v/>
      </c>
      <c r="AV219" s="25" t="str">
        <f aca="false">IFERROR(AN219*T219/3600/X219*1000,"")</f>
        <v/>
      </c>
      <c r="AW219" s="26" t="str">
        <f aca="false">IFERROR(Cost_Model!$B$21*K219*T219/3600/X219*1000000,"")</f>
        <v/>
      </c>
      <c r="AX219" s="27" t="str">
        <f aca="false">IF(ISNUMBER(Z219),IF(Z219&lt;=Run_Config!$B$31,"PASS","FAIL"),"")</f>
        <v/>
      </c>
      <c r="AY219" s="27" t="str">
        <f aca="false">IF(ISNUMBER(AH219),IF(AH219&gt;=Run_Config!$B$33,"PASS","FAIL"),"")</f>
        <v/>
      </c>
    </row>
    <row r="220" customFormat="false" ht="15" hidden="false" customHeight="false" outlineLevel="0" collapsed="false">
      <c r="AR220" s="23" t="str">
        <f aca="false">IFERROR(V220/(U220+V220)*100,"")</f>
        <v/>
      </c>
      <c r="AS220" s="24" t="str">
        <f aca="false">IFERROR(AI220/K220,"")</f>
        <v/>
      </c>
      <c r="AT220" s="24" t="str">
        <f aca="false">IFERROR(IF(AN220="","",AN220*T220/3600),"")</f>
        <v/>
      </c>
      <c r="AU220" s="25" t="str">
        <f aca="false">IFERROR(X220/(AN220*T220),"")</f>
        <v/>
      </c>
      <c r="AV220" s="25" t="str">
        <f aca="false">IFERROR(AN220*T220/3600/X220*1000,"")</f>
        <v/>
      </c>
      <c r="AW220" s="26" t="str">
        <f aca="false">IFERROR(Cost_Model!$B$21*K220*T220/3600/X220*1000000,"")</f>
        <v/>
      </c>
      <c r="AX220" s="27" t="str">
        <f aca="false">IF(ISNUMBER(Z220),IF(Z220&lt;=Run_Config!$B$31,"PASS","FAIL"),"")</f>
        <v/>
      </c>
      <c r="AY220" s="27" t="str">
        <f aca="false">IF(ISNUMBER(AH220),IF(AH220&gt;=Run_Config!$B$33,"PASS","FAIL"),"")</f>
        <v/>
      </c>
    </row>
    <row r="221" customFormat="false" ht="15" hidden="false" customHeight="false" outlineLevel="0" collapsed="false">
      <c r="AR221" s="23" t="str">
        <f aca="false">IFERROR(V221/(U221+V221)*100,"")</f>
        <v/>
      </c>
      <c r="AS221" s="24" t="str">
        <f aca="false">IFERROR(AI221/K221,"")</f>
        <v/>
      </c>
      <c r="AT221" s="24" t="str">
        <f aca="false">IFERROR(IF(AN221="","",AN221*T221/3600),"")</f>
        <v/>
      </c>
      <c r="AU221" s="25" t="str">
        <f aca="false">IFERROR(X221/(AN221*T221),"")</f>
        <v/>
      </c>
      <c r="AV221" s="25" t="str">
        <f aca="false">IFERROR(AN221*T221/3600/X221*1000,"")</f>
        <v/>
      </c>
      <c r="AW221" s="26" t="str">
        <f aca="false">IFERROR(Cost_Model!$B$21*K221*T221/3600/X221*1000000,"")</f>
        <v/>
      </c>
      <c r="AX221" s="27" t="str">
        <f aca="false">IF(ISNUMBER(Z221),IF(Z221&lt;=Run_Config!$B$31,"PASS","FAIL"),"")</f>
        <v/>
      </c>
      <c r="AY221" s="27" t="str">
        <f aca="false">IF(ISNUMBER(AH221),IF(AH221&gt;=Run_Config!$B$33,"PASS","FAIL"),"")</f>
        <v/>
      </c>
    </row>
    <row r="222" customFormat="false" ht="15" hidden="false" customHeight="false" outlineLevel="0" collapsed="false">
      <c r="AR222" s="23" t="str">
        <f aca="false">IFERROR(V222/(U222+V222)*100,"")</f>
        <v/>
      </c>
      <c r="AS222" s="24" t="str">
        <f aca="false">IFERROR(AI222/K222,"")</f>
        <v/>
      </c>
      <c r="AT222" s="24" t="str">
        <f aca="false">IFERROR(IF(AN222="","",AN222*T222/3600),"")</f>
        <v/>
      </c>
      <c r="AU222" s="25" t="str">
        <f aca="false">IFERROR(X222/(AN222*T222),"")</f>
        <v/>
      </c>
      <c r="AV222" s="25" t="str">
        <f aca="false">IFERROR(AN222*T222/3600/X222*1000,"")</f>
        <v/>
      </c>
      <c r="AW222" s="26" t="str">
        <f aca="false">IFERROR(Cost_Model!$B$21*K222*T222/3600/X222*1000000,"")</f>
        <v/>
      </c>
      <c r="AX222" s="27" t="str">
        <f aca="false">IF(ISNUMBER(Z222),IF(Z222&lt;=Run_Config!$B$31,"PASS","FAIL"),"")</f>
        <v/>
      </c>
      <c r="AY222" s="27" t="str">
        <f aca="false">IF(ISNUMBER(AH222),IF(AH222&gt;=Run_Config!$B$33,"PASS","FAIL"),"")</f>
        <v/>
      </c>
    </row>
    <row r="223" customFormat="false" ht="15" hidden="false" customHeight="false" outlineLevel="0" collapsed="false">
      <c r="AR223" s="23" t="str">
        <f aca="false">IFERROR(V223/(U223+V223)*100,"")</f>
        <v/>
      </c>
      <c r="AS223" s="24" t="str">
        <f aca="false">IFERROR(AI223/K223,"")</f>
        <v/>
      </c>
      <c r="AT223" s="24" t="str">
        <f aca="false">IFERROR(IF(AN223="","",AN223*T223/3600),"")</f>
        <v/>
      </c>
      <c r="AU223" s="25" t="str">
        <f aca="false">IFERROR(X223/(AN223*T223),"")</f>
        <v/>
      </c>
      <c r="AV223" s="25" t="str">
        <f aca="false">IFERROR(AN223*T223/3600/X223*1000,"")</f>
        <v/>
      </c>
      <c r="AW223" s="26" t="str">
        <f aca="false">IFERROR(Cost_Model!$B$21*K223*T223/3600/X223*1000000,"")</f>
        <v/>
      </c>
      <c r="AX223" s="27" t="str">
        <f aca="false">IF(ISNUMBER(Z223),IF(Z223&lt;=Run_Config!$B$31,"PASS","FAIL"),"")</f>
        <v/>
      </c>
      <c r="AY223" s="27" t="str">
        <f aca="false">IF(ISNUMBER(AH223),IF(AH223&gt;=Run_Config!$B$33,"PASS","FAIL"),"")</f>
        <v/>
      </c>
    </row>
    <row r="224" customFormat="false" ht="15" hidden="false" customHeight="false" outlineLevel="0" collapsed="false">
      <c r="AR224" s="23" t="str">
        <f aca="false">IFERROR(V224/(U224+V224)*100,"")</f>
        <v/>
      </c>
      <c r="AS224" s="24" t="str">
        <f aca="false">IFERROR(AI224/K224,"")</f>
        <v/>
      </c>
      <c r="AT224" s="24" t="str">
        <f aca="false">IFERROR(IF(AN224="","",AN224*T224/3600),"")</f>
        <v/>
      </c>
      <c r="AU224" s="25" t="str">
        <f aca="false">IFERROR(X224/(AN224*T224),"")</f>
        <v/>
      </c>
      <c r="AV224" s="25" t="str">
        <f aca="false">IFERROR(AN224*T224/3600/X224*1000,"")</f>
        <v/>
      </c>
      <c r="AW224" s="26" t="str">
        <f aca="false">IFERROR(Cost_Model!$B$21*K224*T224/3600/X224*1000000,"")</f>
        <v/>
      </c>
      <c r="AX224" s="27" t="str">
        <f aca="false">IF(ISNUMBER(Z224),IF(Z224&lt;=Run_Config!$B$31,"PASS","FAIL"),"")</f>
        <v/>
      </c>
      <c r="AY224" s="27" t="str">
        <f aca="false">IF(ISNUMBER(AH224),IF(AH224&gt;=Run_Config!$B$33,"PASS","FAIL"),"")</f>
        <v/>
      </c>
    </row>
    <row r="225" customFormat="false" ht="15" hidden="false" customHeight="false" outlineLevel="0" collapsed="false">
      <c r="AR225" s="23" t="str">
        <f aca="false">IFERROR(V225/(U225+V225)*100,"")</f>
        <v/>
      </c>
      <c r="AS225" s="24" t="str">
        <f aca="false">IFERROR(AI225/K225,"")</f>
        <v/>
      </c>
      <c r="AT225" s="24" t="str">
        <f aca="false">IFERROR(IF(AN225="","",AN225*T225/3600),"")</f>
        <v/>
      </c>
      <c r="AU225" s="25" t="str">
        <f aca="false">IFERROR(X225/(AN225*T225),"")</f>
        <v/>
      </c>
      <c r="AV225" s="25" t="str">
        <f aca="false">IFERROR(AN225*T225/3600/X225*1000,"")</f>
        <v/>
      </c>
      <c r="AW225" s="26" t="str">
        <f aca="false">IFERROR(Cost_Model!$B$21*K225*T225/3600/X225*1000000,"")</f>
        <v/>
      </c>
      <c r="AX225" s="27" t="str">
        <f aca="false">IF(ISNUMBER(Z225),IF(Z225&lt;=Run_Config!$B$31,"PASS","FAIL"),"")</f>
        <v/>
      </c>
      <c r="AY225" s="27" t="str">
        <f aca="false">IF(ISNUMBER(AH225),IF(AH225&gt;=Run_Config!$B$33,"PASS","FAIL"),"")</f>
        <v/>
      </c>
    </row>
    <row r="226" customFormat="false" ht="15" hidden="false" customHeight="false" outlineLevel="0" collapsed="false">
      <c r="AR226" s="23" t="str">
        <f aca="false">IFERROR(V226/(U226+V226)*100,"")</f>
        <v/>
      </c>
      <c r="AS226" s="24" t="str">
        <f aca="false">IFERROR(AI226/K226,"")</f>
        <v/>
      </c>
      <c r="AT226" s="24" t="str">
        <f aca="false">IFERROR(IF(AN226="","",AN226*T226/3600),"")</f>
        <v/>
      </c>
      <c r="AU226" s="25" t="str">
        <f aca="false">IFERROR(X226/(AN226*T226),"")</f>
        <v/>
      </c>
      <c r="AV226" s="25" t="str">
        <f aca="false">IFERROR(AN226*T226/3600/X226*1000,"")</f>
        <v/>
      </c>
      <c r="AW226" s="26" t="str">
        <f aca="false">IFERROR(Cost_Model!$B$21*K226*T226/3600/X226*1000000,"")</f>
        <v/>
      </c>
      <c r="AX226" s="27" t="str">
        <f aca="false">IF(ISNUMBER(Z226),IF(Z226&lt;=Run_Config!$B$31,"PASS","FAIL"),"")</f>
        <v/>
      </c>
      <c r="AY226" s="27" t="str">
        <f aca="false">IF(ISNUMBER(AH226),IF(AH226&gt;=Run_Config!$B$33,"PASS","FAIL"),"")</f>
        <v/>
      </c>
    </row>
    <row r="227" customFormat="false" ht="15" hidden="false" customHeight="false" outlineLevel="0" collapsed="false">
      <c r="AR227" s="23" t="str">
        <f aca="false">IFERROR(V227/(U227+V227)*100,"")</f>
        <v/>
      </c>
      <c r="AS227" s="24" t="str">
        <f aca="false">IFERROR(AI227/K227,"")</f>
        <v/>
      </c>
      <c r="AT227" s="24" t="str">
        <f aca="false">IFERROR(IF(AN227="","",AN227*T227/3600),"")</f>
        <v/>
      </c>
      <c r="AU227" s="25" t="str">
        <f aca="false">IFERROR(X227/(AN227*T227),"")</f>
        <v/>
      </c>
      <c r="AV227" s="25" t="str">
        <f aca="false">IFERROR(AN227*T227/3600/X227*1000,"")</f>
        <v/>
      </c>
      <c r="AW227" s="26" t="str">
        <f aca="false">IFERROR(Cost_Model!$B$21*K227*T227/3600/X227*1000000,"")</f>
        <v/>
      </c>
      <c r="AX227" s="27" t="str">
        <f aca="false">IF(ISNUMBER(Z227),IF(Z227&lt;=Run_Config!$B$31,"PASS","FAIL"),"")</f>
        <v/>
      </c>
      <c r="AY227" s="27" t="str">
        <f aca="false">IF(ISNUMBER(AH227),IF(AH227&gt;=Run_Config!$B$33,"PASS","FAIL"),"")</f>
        <v/>
      </c>
    </row>
    <row r="228" customFormat="false" ht="15" hidden="false" customHeight="false" outlineLevel="0" collapsed="false">
      <c r="AR228" s="23" t="str">
        <f aca="false">IFERROR(V228/(U228+V228)*100,"")</f>
        <v/>
      </c>
      <c r="AS228" s="24" t="str">
        <f aca="false">IFERROR(AI228/K228,"")</f>
        <v/>
      </c>
      <c r="AT228" s="24" t="str">
        <f aca="false">IFERROR(IF(AN228="","",AN228*T228/3600),"")</f>
        <v/>
      </c>
      <c r="AU228" s="25" t="str">
        <f aca="false">IFERROR(X228/(AN228*T228),"")</f>
        <v/>
      </c>
      <c r="AV228" s="25" t="str">
        <f aca="false">IFERROR(AN228*T228/3600/X228*1000,"")</f>
        <v/>
      </c>
      <c r="AW228" s="26" t="str">
        <f aca="false">IFERROR(Cost_Model!$B$21*K228*T228/3600/X228*1000000,"")</f>
        <v/>
      </c>
      <c r="AX228" s="27" t="str">
        <f aca="false">IF(ISNUMBER(Z228),IF(Z228&lt;=Run_Config!$B$31,"PASS","FAIL"),"")</f>
        <v/>
      </c>
      <c r="AY228" s="27" t="str">
        <f aca="false">IF(ISNUMBER(AH228),IF(AH228&gt;=Run_Config!$B$33,"PASS","FAIL"),"")</f>
        <v/>
      </c>
    </row>
    <row r="229" customFormat="false" ht="15" hidden="false" customHeight="false" outlineLevel="0" collapsed="false">
      <c r="AR229" s="23" t="str">
        <f aca="false">IFERROR(V229/(U229+V229)*100,"")</f>
        <v/>
      </c>
      <c r="AS229" s="24" t="str">
        <f aca="false">IFERROR(AI229/K229,"")</f>
        <v/>
      </c>
      <c r="AT229" s="24" t="str">
        <f aca="false">IFERROR(IF(AN229="","",AN229*T229/3600),"")</f>
        <v/>
      </c>
      <c r="AU229" s="25" t="str">
        <f aca="false">IFERROR(X229/(AN229*T229),"")</f>
        <v/>
      </c>
      <c r="AV229" s="25" t="str">
        <f aca="false">IFERROR(AN229*T229/3600/X229*1000,"")</f>
        <v/>
      </c>
      <c r="AW229" s="26" t="str">
        <f aca="false">IFERROR(Cost_Model!$B$21*K229*T229/3600/X229*1000000,"")</f>
        <v/>
      </c>
      <c r="AX229" s="27" t="str">
        <f aca="false">IF(ISNUMBER(Z229),IF(Z229&lt;=Run_Config!$B$31,"PASS","FAIL"),"")</f>
        <v/>
      </c>
      <c r="AY229" s="27" t="str">
        <f aca="false">IF(ISNUMBER(AH229),IF(AH229&gt;=Run_Config!$B$33,"PASS","FAIL"),"")</f>
        <v/>
      </c>
    </row>
    <row r="230" customFormat="false" ht="15" hidden="false" customHeight="false" outlineLevel="0" collapsed="false">
      <c r="AR230" s="23" t="str">
        <f aca="false">IFERROR(V230/(U230+V230)*100,"")</f>
        <v/>
      </c>
      <c r="AS230" s="24" t="str">
        <f aca="false">IFERROR(AI230/K230,"")</f>
        <v/>
      </c>
      <c r="AT230" s="24" t="str">
        <f aca="false">IFERROR(IF(AN230="","",AN230*T230/3600),"")</f>
        <v/>
      </c>
      <c r="AU230" s="25" t="str">
        <f aca="false">IFERROR(X230/(AN230*T230),"")</f>
        <v/>
      </c>
      <c r="AV230" s="25" t="str">
        <f aca="false">IFERROR(AN230*T230/3600/X230*1000,"")</f>
        <v/>
      </c>
      <c r="AW230" s="26" t="str">
        <f aca="false">IFERROR(Cost_Model!$B$21*K230*T230/3600/X230*1000000,"")</f>
        <v/>
      </c>
      <c r="AX230" s="27" t="str">
        <f aca="false">IF(ISNUMBER(Z230),IF(Z230&lt;=Run_Config!$B$31,"PASS","FAIL"),"")</f>
        <v/>
      </c>
      <c r="AY230" s="27" t="str">
        <f aca="false">IF(ISNUMBER(AH230),IF(AH230&gt;=Run_Config!$B$33,"PASS","FAIL"),"")</f>
        <v/>
      </c>
    </row>
    <row r="231" customFormat="false" ht="15" hidden="false" customHeight="false" outlineLevel="0" collapsed="false">
      <c r="AR231" s="23" t="str">
        <f aca="false">IFERROR(V231/(U231+V231)*100,"")</f>
        <v/>
      </c>
      <c r="AS231" s="24" t="str">
        <f aca="false">IFERROR(AI231/K231,"")</f>
        <v/>
      </c>
      <c r="AT231" s="24" t="str">
        <f aca="false">IFERROR(IF(AN231="","",AN231*T231/3600),"")</f>
        <v/>
      </c>
      <c r="AU231" s="25" t="str">
        <f aca="false">IFERROR(X231/(AN231*T231),"")</f>
        <v/>
      </c>
      <c r="AV231" s="25" t="str">
        <f aca="false">IFERROR(AN231*T231/3600/X231*1000,"")</f>
        <v/>
      </c>
      <c r="AW231" s="26" t="str">
        <f aca="false">IFERROR(Cost_Model!$B$21*K231*T231/3600/X231*1000000,"")</f>
        <v/>
      </c>
      <c r="AX231" s="27" t="str">
        <f aca="false">IF(ISNUMBER(Z231),IF(Z231&lt;=Run_Config!$B$31,"PASS","FAIL"),"")</f>
        <v/>
      </c>
      <c r="AY231" s="27" t="str">
        <f aca="false">IF(ISNUMBER(AH231),IF(AH231&gt;=Run_Config!$B$33,"PASS","FAIL"),"")</f>
        <v/>
      </c>
    </row>
    <row r="232" customFormat="false" ht="15" hidden="false" customHeight="false" outlineLevel="0" collapsed="false">
      <c r="AR232" s="23" t="str">
        <f aca="false">IFERROR(V232/(U232+V232)*100,"")</f>
        <v/>
      </c>
      <c r="AS232" s="24" t="str">
        <f aca="false">IFERROR(AI232/K232,"")</f>
        <v/>
      </c>
      <c r="AT232" s="24" t="str">
        <f aca="false">IFERROR(IF(AN232="","",AN232*T232/3600),"")</f>
        <v/>
      </c>
      <c r="AU232" s="25" t="str">
        <f aca="false">IFERROR(X232/(AN232*T232),"")</f>
        <v/>
      </c>
      <c r="AV232" s="25" t="str">
        <f aca="false">IFERROR(AN232*T232/3600/X232*1000,"")</f>
        <v/>
      </c>
      <c r="AW232" s="26" t="str">
        <f aca="false">IFERROR(Cost_Model!$B$21*K232*T232/3600/X232*1000000,"")</f>
        <v/>
      </c>
      <c r="AX232" s="27" t="str">
        <f aca="false">IF(ISNUMBER(Z232),IF(Z232&lt;=Run_Config!$B$31,"PASS","FAIL"),"")</f>
        <v/>
      </c>
      <c r="AY232" s="27" t="str">
        <f aca="false">IF(ISNUMBER(AH232),IF(AH232&gt;=Run_Config!$B$33,"PASS","FAIL"),"")</f>
        <v/>
      </c>
    </row>
    <row r="233" customFormat="false" ht="15" hidden="false" customHeight="false" outlineLevel="0" collapsed="false">
      <c r="AR233" s="23" t="str">
        <f aca="false">IFERROR(V233/(U233+V233)*100,"")</f>
        <v/>
      </c>
      <c r="AS233" s="24" t="str">
        <f aca="false">IFERROR(AI233/K233,"")</f>
        <v/>
      </c>
      <c r="AT233" s="24" t="str">
        <f aca="false">IFERROR(IF(AN233="","",AN233*T233/3600),"")</f>
        <v/>
      </c>
      <c r="AU233" s="25" t="str">
        <f aca="false">IFERROR(X233/(AN233*T233),"")</f>
        <v/>
      </c>
      <c r="AV233" s="25" t="str">
        <f aca="false">IFERROR(AN233*T233/3600/X233*1000,"")</f>
        <v/>
      </c>
      <c r="AW233" s="26" t="str">
        <f aca="false">IFERROR(Cost_Model!$B$21*K233*T233/3600/X233*1000000,"")</f>
        <v/>
      </c>
      <c r="AX233" s="27" t="str">
        <f aca="false">IF(ISNUMBER(Z233),IF(Z233&lt;=Run_Config!$B$31,"PASS","FAIL"),"")</f>
        <v/>
      </c>
      <c r="AY233" s="27" t="str">
        <f aca="false">IF(ISNUMBER(AH233),IF(AH233&gt;=Run_Config!$B$33,"PASS","FAIL"),"")</f>
        <v/>
      </c>
    </row>
    <row r="234" customFormat="false" ht="15" hidden="false" customHeight="false" outlineLevel="0" collapsed="false">
      <c r="AR234" s="23" t="str">
        <f aca="false">IFERROR(V234/(U234+V234)*100,"")</f>
        <v/>
      </c>
      <c r="AS234" s="24" t="str">
        <f aca="false">IFERROR(AI234/K234,"")</f>
        <v/>
      </c>
      <c r="AT234" s="24" t="str">
        <f aca="false">IFERROR(IF(AN234="","",AN234*T234/3600),"")</f>
        <v/>
      </c>
      <c r="AU234" s="25" t="str">
        <f aca="false">IFERROR(X234/(AN234*T234),"")</f>
        <v/>
      </c>
      <c r="AV234" s="25" t="str">
        <f aca="false">IFERROR(AN234*T234/3600/X234*1000,"")</f>
        <v/>
      </c>
      <c r="AW234" s="26" t="str">
        <f aca="false">IFERROR(Cost_Model!$B$21*K234*T234/3600/X234*1000000,"")</f>
        <v/>
      </c>
      <c r="AX234" s="27" t="str">
        <f aca="false">IF(ISNUMBER(Z234),IF(Z234&lt;=Run_Config!$B$31,"PASS","FAIL"),"")</f>
        <v/>
      </c>
      <c r="AY234" s="27" t="str">
        <f aca="false">IF(ISNUMBER(AH234),IF(AH234&gt;=Run_Config!$B$33,"PASS","FAIL"),"")</f>
        <v/>
      </c>
    </row>
    <row r="235" customFormat="false" ht="15" hidden="false" customHeight="false" outlineLevel="0" collapsed="false">
      <c r="AR235" s="23" t="str">
        <f aca="false">IFERROR(V235/(U235+V235)*100,"")</f>
        <v/>
      </c>
      <c r="AS235" s="24" t="str">
        <f aca="false">IFERROR(AI235/K235,"")</f>
        <v/>
      </c>
      <c r="AT235" s="24" t="str">
        <f aca="false">IFERROR(IF(AN235="","",AN235*T235/3600),"")</f>
        <v/>
      </c>
      <c r="AU235" s="25" t="str">
        <f aca="false">IFERROR(X235/(AN235*T235),"")</f>
        <v/>
      </c>
      <c r="AV235" s="25" t="str">
        <f aca="false">IFERROR(AN235*T235/3600/X235*1000,"")</f>
        <v/>
      </c>
      <c r="AW235" s="26" t="str">
        <f aca="false">IFERROR(Cost_Model!$B$21*K235*T235/3600/X235*1000000,"")</f>
        <v/>
      </c>
      <c r="AX235" s="27" t="str">
        <f aca="false">IF(ISNUMBER(Z235),IF(Z235&lt;=Run_Config!$B$31,"PASS","FAIL"),"")</f>
        <v/>
      </c>
      <c r="AY235" s="27" t="str">
        <f aca="false">IF(ISNUMBER(AH235),IF(AH235&gt;=Run_Config!$B$33,"PASS","FAIL"),"")</f>
        <v/>
      </c>
    </row>
    <row r="236" customFormat="false" ht="15" hidden="false" customHeight="false" outlineLevel="0" collapsed="false">
      <c r="AR236" s="23" t="str">
        <f aca="false">IFERROR(V236/(U236+V236)*100,"")</f>
        <v/>
      </c>
      <c r="AS236" s="24" t="str">
        <f aca="false">IFERROR(AI236/K236,"")</f>
        <v/>
      </c>
      <c r="AT236" s="24" t="str">
        <f aca="false">IFERROR(IF(AN236="","",AN236*T236/3600),"")</f>
        <v/>
      </c>
      <c r="AU236" s="25" t="str">
        <f aca="false">IFERROR(X236/(AN236*T236),"")</f>
        <v/>
      </c>
      <c r="AV236" s="25" t="str">
        <f aca="false">IFERROR(AN236*T236/3600/X236*1000,"")</f>
        <v/>
      </c>
      <c r="AW236" s="26" t="str">
        <f aca="false">IFERROR(Cost_Model!$B$21*K236*T236/3600/X236*1000000,"")</f>
        <v/>
      </c>
      <c r="AX236" s="27" t="str">
        <f aca="false">IF(ISNUMBER(Z236),IF(Z236&lt;=Run_Config!$B$31,"PASS","FAIL"),"")</f>
        <v/>
      </c>
      <c r="AY236" s="27" t="str">
        <f aca="false">IF(ISNUMBER(AH236),IF(AH236&gt;=Run_Config!$B$33,"PASS","FAIL"),"")</f>
        <v/>
      </c>
    </row>
    <row r="237" customFormat="false" ht="15" hidden="false" customHeight="false" outlineLevel="0" collapsed="false">
      <c r="AR237" s="23" t="str">
        <f aca="false">IFERROR(V237/(U237+V237)*100,"")</f>
        <v/>
      </c>
      <c r="AS237" s="24" t="str">
        <f aca="false">IFERROR(AI237/K237,"")</f>
        <v/>
      </c>
      <c r="AT237" s="24" t="str">
        <f aca="false">IFERROR(IF(AN237="","",AN237*T237/3600),"")</f>
        <v/>
      </c>
      <c r="AU237" s="25" t="str">
        <f aca="false">IFERROR(X237/(AN237*T237),"")</f>
        <v/>
      </c>
      <c r="AV237" s="25" t="str">
        <f aca="false">IFERROR(AN237*T237/3600/X237*1000,"")</f>
        <v/>
      </c>
      <c r="AW237" s="26" t="str">
        <f aca="false">IFERROR(Cost_Model!$B$21*K237*T237/3600/X237*1000000,"")</f>
        <v/>
      </c>
      <c r="AX237" s="27" t="str">
        <f aca="false">IF(ISNUMBER(Z237),IF(Z237&lt;=Run_Config!$B$31,"PASS","FAIL"),"")</f>
        <v/>
      </c>
      <c r="AY237" s="27" t="str">
        <f aca="false">IF(ISNUMBER(AH237),IF(AH237&gt;=Run_Config!$B$33,"PASS","FAIL"),"")</f>
        <v/>
      </c>
    </row>
    <row r="238" customFormat="false" ht="15" hidden="false" customHeight="false" outlineLevel="0" collapsed="false">
      <c r="AR238" s="23" t="str">
        <f aca="false">IFERROR(V238/(U238+V238)*100,"")</f>
        <v/>
      </c>
      <c r="AS238" s="24" t="str">
        <f aca="false">IFERROR(AI238/K238,"")</f>
        <v/>
      </c>
      <c r="AT238" s="24" t="str">
        <f aca="false">IFERROR(IF(AN238="","",AN238*T238/3600),"")</f>
        <v/>
      </c>
      <c r="AU238" s="25" t="str">
        <f aca="false">IFERROR(X238/(AN238*T238),"")</f>
        <v/>
      </c>
      <c r="AV238" s="25" t="str">
        <f aca="false">IFERROR(AN238*T238/3600/X238*1000,"")</f>
        <v/>
      </c>
      <c r="AW238" s="26" t="str">
        <f aca="false">IFERROR(Cost_Model!$B$21*K238*T238/3600/X238*1000000,"")</f>
        <v/>
      </c>
      <c r="AX238" s="27" t="str">
        <f aca="false">IF(ISNUMBER(Z238),IF(Z238&lt;=Run_Config!$B$31,"PASS","FAIL"),"")</f>
        <v/>
      </c>
      <c r="AY238" s="27" t="str">
        <f aca="false">IF(ISNUMBER(AH238),IF(AH238&gt;=Run_Config!$B$33,"PASS","FAIL"),"")</f>
        <v/>
      </c>
    </row>
    <row r="239" customFormat="false" ht="15" hidden="false" customHeight="false" outlineLevel="0" collapsed="false">
      <c r="AR239" s="23" t="str">
        <f aca="false">IFERROR(V239/(U239+V239)*100,"")</f>
        <v/>
      </c>
      <c r="AS239" s="24" t="str">
        <f aca="false">IFERROR(AI239/K239,"")</f>
        <v/>
      </c>
      <c r="AT239" s="24" t="str">
        <f aca="false">IFERROR(IF(AN239="","",AN239*T239/3600),"")</f>
        <v/>
      </c>
      <c r="AU239" s="25" t="str">
        <f aca="false">IFERROR(X239/(AN239*T239),"")</f>
        <v/>
      </c>
      <c r="AV239" s="25" t="str">
        <f aca="false">IFERROR(AN239*T239/3600/X239*1000,"")</f>
        <v/>
      </c>
      <c r="AW239" s="26" t="str">
        <f aca="false">IFERROR(Cost_Model!$B$21*K239*T239/3600/X239*1000000,"")</f>
        <v/>
      </c>
      <c r="AX239" s="27" t="str">
        <f aca="false">IF(ISNUMBER(Z239),IF(Z239&lt;=Run_Config!$B$31,"PASS","FAIL"),"")</f>
        <v/>
      </c>
      <c r="AY239" s="27" t="str">
        <f aca="false">IF(ISNUMBER(AH239),IF(AH239&gt;=Run_Config!$B$33,"PASS","FAIL"),"")</f>
        <v/>
      </c>
    </row>
    <row r="240" customFormat="false" ht="15" hidden="false" customHeight="false" outlineLevel="0" collapsed="false">
      <c r="AR240" s="23" t="str">
        <f aca="false">IFERROR(V240/(U240+V240)*100,"")</f>
        <v/>
      </c>
      <c r="AS240" s="24" t="str">
        <f aca="false">IFERROR(AI240/K240,"")</f>
        <v/>
      </c>
      <c r="AT240" s="24" t="str">
        <f aca="false">IFERROR(IF(AN240="","",AN240*T240/3600),"")</f>
        <v/>
      </c>
      <c r="AU240" s="25" t="str">
        <f aca="false">IFERROR(X240/(AN240*T240),"")</f>
        <v/>
      </c>
      <c r="AV240" s="25" t="str">
        <f aca="false">IFERROR(AN240*T240/3600/X240*1000,"")</f>
        <v/>
      </c>
      <c r="AW240" s="26" t="str">
        <f aca="false">IFERROR(Cost_Model!$B$21*K240*T240/3600/X240*1000000,"")</f>
        <v/>
      </c>
      <c r="AX240" s="27" t="str">
        <f aca="false">IF(ISNUMBER(Z240),IF(Z240&lt;=Run_Config!$B$31,"PASS","FAIL"),"")</f>
        <v/>
      </c>
      <c r="AY240" s="27" t="str">
        <f aca="false">IF(ISNUMBER(AH240),IF(AH240&gt;=Run_Config!$B$33,"PASS","FAIL"),"")</f>
        <v/>
      </c>
    </row>
    <row r="241" customFormat="false" ht="15" hidden="false" customHeight="false" outlineLevel="0" collapsed="false">
      <c r="AR241" s="23" t="str">
        <f aca="false">IFERROR(V241/(U241+V241)*100,"")</f>
        <v/>
      </c>
      <c r="AS241" s="24" t="str">
        <f aca="false">IFERROR(AI241/K241,"")</f>
        <v/>
      </c>
      <c r="AT241" s="24" t="str">
        <f aca="false">IFERROR(IF(AN241="","",AN241*T241/3600),"")</f>
        <v/>
      </c>
      <c r="AU241" s="25" t="str">
        <f aca="false">IFERROR(X241/(AN241*T241),"")</f>
        <v/>
      </c>
      <c r="AV241" s="25" t="str">
        <f aca="false">IFERROR(AN241*T241/3600/X241*1000,"")</f>
        <v/>
      </c>
      <c r="AW241" s="26" t="str">
        <f aca="false">IFERROR(Cost_Model!$B$21*K241*T241/3600/X241*1000000,"")</f>
        <v/>
      </c>
      <c r="AX241" s="27" t="str">
        <f aca="false">IF(ISNUMBER(Z241),IF(Z241&lt;=Run_Config!$B$31,"PASS","FAIL"),"")</f>
        <v/>
      </c>
      <c r="AY241" s="27" t="str">
        <f aca="false">IF(ISNUMBER(AH241),IF(AH241&gt;=Run_Config!$B$33,"PASS","FAIL"),"")</f>
        <v/>
      </c>
    </row>
    <row r="242" customFormat="false" ht="15" hidden="false" customHeight="false" outlineLevel="0" collapsed="false">
      <c r="AR242" s="23" t="str">
        <f aca="false">IFERROR(V242/(U242+V242)*100,"")</f>
        <v/>
      </c>
      <c r="AS242" s="24" t="str">
        <f aca="false">IFERROR(AI242/K242,"")</f>
        <v/>
      </c>
      <c r="AT242" s="24" t="str">
        <f aca="false">IFERROR(IF(AN242="","",AN242*T242/3600),"")</f>
        <v/>
      </c>
      <c r="AU242" s="25" t="str">
        <f aca="false">IFERROR(X242/(AN242*T242),"")</f>
        <v/>
      </c>
      <c r="AV242" s="25" t="str">
        <f aca="false">IFERROR(AN242*T242/3600/X242*1000,"")</f>
        <v/>
      </c>
      <c r="AW242" s="26" t="str">
        <f aca="false">IFERROR(Cost_Model!$B$21*K242*T242/3600/X242*1000000,"")</f>
        <v/>
      </c>
      <c r="AX242" s="27" t="str">
        <f aca="false">IF(ISNUMBER(Z242),IF(Z242&lt;=Run_Config!$B$31,"PASS","FAIL"),"")</f>
        <v/>
      </c>
      <c r="AY242" s="27" t="str">
        <f aca="false">IF(ISNUMBER(AH242),IF(AH242&gt;=Run_Config!$B$33,"PASS","FAIL"),"")</f>
        <v/>
      </c>
    </row>
    <row r="243" customFormat="false" ht="15" hidden="false" customHeight="false" outlineLevel="0" collapsed="false">
      <c r="AR243" s="23" t="str">
        <f aca="false">IFERROR(V243/(U243+V243)*100,"")</f>
        <v/>
      </c>
      <c r="AS243" s="24" t="str">
        <f aca="false">IFERROR(AI243/K243,"")</f>
        <v/>
      </c>
      <c r="AT243" s="24" t="str">
        <f aca="false">IFERROR(IF(AN243="","",AN243*T243/3600),"")</f>
        <v/>
      </c>
      <c r="AU243" s="25" t="str">
        <f aca="false">IFERROR(X243/(AN243*T243),"")</f>
        <v/>
      </c>
      <c r="AV243" s="25" t="str">
        <f aca="false">IFERROR(AN243*T243/3600/X243*1000,"")</f>
        <v/>
      </c>
      <c r="AW243" s="26" t="str">
        <f aca="false">IFERROR(Cost_Model!$B$21*K243*T243/3600/X243*1000000,"")</f>
        <v/>
      </c>
      <c r="AX243" s="27" t="str">
        <f aca="false">IF(ISNUMBER(Z243),IF(Z243&lt;=Run_Config!$B$31,"PASS","FAIL"),"")</f>
        <v/>
      </c>
      <c r="AY243" s="27" t="str">
        <f aca="false">IF(ISNUMBER(AH243),IF(AH243&gt;=Run_Config!$B$33,"PASS","FAIL"),"")</f>
        <v/>
      </c>
    </row>
    <row r="244" customFormat="false" ht="15" hidden="false" customHeight="false" outlineLevel="0" collapsed="false">
      <c r="AR244" s="23" t="str">
        <f aca="false">IFERROR(V244/(U244+V244)*100,"")</f>
        <v/>
      </c>
      <c r="AS244" s="24" t="str">
        <f aca="false">IFERROR(AI244/K244,"")</f>
        <v/>
      </c>
      <c r="AT244" s="24" t="str">
        <f aca="false">IFERROR(IF(AN244="","",AN244*T244/3600),"")</f>
        <v/>
      </c>
      <c r="AU244" s="25" t="str">
        <f aca="false">IFERROR(X244/(AN244*T244),"")</f>
        <v/>
      </c>
      <c r="AV244" s="25" t="str">
        <f aca="false">IFERROR(AN244*T244/3600/X244*1000,"")</f>
        <v/>
      </c>
      <c r="AW244" s="26" t="str">
        <f aca="false">IFERROR(Cost_Model!$B$21*K244*T244/3600/X244*1000000,"")</f>
        <v/>
      </c>
      <c r="AX244" s="27" t="str">
        <f aca="false">IF(ISNUMBER(Z244),IF(Z244&lt;=Run_Config!$B$31,"PASS","FAIL"),"")</f>
        <v/>
      </c>
      <c r="AY244" s="27" t="str">
        <f aca="false">IF(ISNUMBER(AH244),IF(AH244&gt;=Run_Config!$B$33,"PASS","FAIL"),"")</f>
        <v/>
      </c>
    </row>
    <row r="245" customFormat="false" ht="15" hidden="false" customHeight="false" outlineLevel="0" collapsed="false">
      <c r="AR245" s="23" t="str">
        <f aca="false">IFERROR(V245/(U245+V245)*100,"")</f>
        <v/>
      </c>
      <c r="AS245" s="24" t="str">
        <f aca="false">IFERROR(AI245/K245,"")</f>
        <v/>
      </c>
      <c r="AT245" s="24" t="str">
        <f aca="false">IFERROR(IF(AN245="","",AN245*T245/3600),"")</f>
        <v/>
      </c>
      <c r="AU245" s="25" t="str">
        <f aca="false">IFERROR(X245/(AN245*T245),"")</f>
        <v/>
      </c>
      <c r="AV245" s="25" t="str">
        <f aca="false">IFERROR(AN245*T245/3600/X245*1000,"")</f>
        <v/>
      </c>
      <c r="AW245" s="26" t="str">
        <f aca="false">IFERROR(Cost_Model!$B$21*K245*T245/3600/X245*1000000,"")</f>
        <v/>
      </c>
      <c r="AX245" s="27" t="str">
        <f aca="false">IF(ISNUMBER(Z245),IF(Z245&lt;=Run_Config!$B$31,"PASS","FAIL"),"")</f>
        <v/>
      </c>
      <c r="AY245" s="27" t="str">
        <f aca="false">IF(ISNUMBER(AH245),IF(AH245&gt;=Run_Config!$B$33,"PASS","FAIL"),"")</f>
        <v/>
      </c>
    </row>
    <row r="246" customFormat="false" ht="15" hidden="false" customHeight="false" outlineLevel="0" collapsed="false">
      <c r="AR246" s="23" t="str">
        <f aca="false">IFERROR(V246/(U246+V246)*100,"")</f>
        <v/>
      </c>
      <c r="AS246" s="24" t="str">
        <f aca="false">IFERROR(AI246/K246,"")</f>
        <v/>
      </c>
      <c r="AT246" s="24" t="str">
        <f aca="false">IFERROR(IF(AN246="","",AN246*T246/3600),"")</f>
        <v/>
      </c>
      <c r="AU246" s="25" t="str">
        <f aca="false">IFERROR(X246/(AN246*T246),"")</f>
        <v/>
      </c>
      <c r="AV246" s="25" t="str">
        <f aca="false">IFERROR(AN246*T246/3600/X246*1000,"")</f>
        <v/>
      </c>
      <c r="AW246" s="26" t="str">
        <f aca="false">IFERROR(Cost_Model!$B$21*K246*T246/3600/X246*1000000,"")</f>
        <v/>
      </c>
      <c r="AX246" s="27" t="str">
        <f aca="false">IF(ISNUMBER(Z246),IF(Z246&lt;=Run_Config!$B$31,"PASS","FAIL"),"")</f>
        <v/>
      </c>
      <c r="AY246" s="27" t="str">
        <f aca="false">IF(ISNUMBER(AH246),IF(AH246&gt;=Run_Config!$B$33,"PASS","FAIL"),"")</f>
        <v/>
      </c>
    </row>
    <row r="247" customFormat="false" ht="15" hidden="false" customHeight="false" outlineLevel="0" collapsed="false">
      <c r="AR247" s="23" t="str">
        <f aca="false">IFERROR(V247/(U247+V247)*100,"")</f>
        <v/>
      </c>
      <c r="AS247" s="24" t="str">
        <f aca="false">IFERROR(AI247/K247,"")</f>
        <v/>
      </c>
      <c r="AT247" s="24" t="str">
        <f aca="false">IFERROR(IF(AN247="","",AN247*T247/3600),"")</f>
        <v/>
      </c>
      <c r="AU247" s="25" t="str">
        <f aca="false">IFERROR(X247/(AN247*T247),"")</f>
        <v/>
      </c>
      <c r="AV247" s="25" t="str">
        <f aca="false">IFERROR(AN247*T247/3600/X247*1000,"")</f>
        <v/>
      </c>
      <c r="AW247" s="26" t="str">
        <f aca="false">IFERROR(Cost_Model!$B$21*K247*T247/3600/X247*1000000,"")</f>
        <v/>
      </c>
      <c r="AX247" s="27" t="str">
        <f aca="false">IF(ISNUMBER(Z247),IF(Z247&lt;=Run_Config!$B$31,"PASS","FAIL"),"")</f>
        <v/>
      </c>
      <c r="AY247" s="27" t="str">
        <f aca="false">IF(ISNUMBER(AH247),IF(AH247&gt;=Run_Config!$B$33,"PASS","FAIL"),"")</f>
        <v/>
      </c>
    </row>
    <row r="248" customFormat="false" ht="15" hidden="false" customHeight="false" outlineLevel="0" collapsed="false">
      <c r="AR248" s="23" t="str">
        <f aca="false">IFERROR(V248/(U248+V248)*100,"")</f>
        <v/>
      </c>
      <c r="AS248" s="24" t="str">
        <f aca="false">IFERROR(AI248/K248,"")</f>
        <v/>
      </c>
      <c r="AT248" s="24" t="str">
        <f aca="false">IFERROR(IF(AN248="","",AN248*T248/3600),"")</f>
        <v/>
      </c>
      <c r="AU248" s="25" t="str">
        <f aca="false">IFERROR(X248/(AN248*T248),"")</f>
        <v/>
      </c>
      <c r="AV248" s="25" t="str">
        <f aca="false">IFERROR(AN248*T248/3600/X248*1000,"")</f>
        <v/>
      </c>
      <c r="AW248" s="26" t="str">
        <f aca="false">IFERROR(Cost_Model!$B$21*K248*T248/3600/X248*1000000,"")</f>
        <v/>
      </c>
      <c r="AX248" s="27" t="str">
        <f aca="false">IF(ISNUMBER(Z248),IF(Z248&lt;=Run_Config!$B$31,"PASS","FAIL"),"")</f>
        <v/>
      </c>
      <c r="AY248" s="27" t="str">
        <f aca="false">IF(ISNUMBER(AH248),IF(AH248&gt;=Run_Config!$B$33,"PASS","FAIL"),"")</f>
        <v/>
      </c>
    </row>
    <row r="249" customFormat="false" ht="15" hidden="false" customHeight="false" outlineLevel="0" collapsed="false">
      <c r="AR249" s="23" t="str">
        <f aca="false">IFERROR(V249/(U249+V249)*100,"")</f>
        <v/>
      </c>
      <c r="AS249" s="24" t="str">
        <f aca="false">IFERROR(AI249/K249,"")</f>
        <v/>
      </c>
      <c r="AT249" s="24" t="str">
        <f aca="false">IFERROR(IF(AN249="","",AN249*T249/3600),"")</f>
        <v/>
      </c>
      <c r="AU249" s="25" t="str">
        <f aca="false">IFERROR(X249/(AN249*T249),"")</f>
        <v/>
      </c>
      <c r="AV249" s="25" t="str">
        <f aca="false">IFERROR(AN249*T249/3600/X249*1000,"")</f>
        <v/>
      </c>
      <c r="AW249" s="26" t="str">
        <f aca="false">IFERROR(Cost_Model!$B$21*K249*T249/3600/X249*1000000,"")</f>
        <v/>
      </c>
      <c r="AX249" s="27" t="str">
        <f aca="false">IF(ISNUMBER(Z249),IF(Z249&lt;=Run_Config!$B$31,"PASS","FAIL"),"")</f>
        <v/>
      </c>
      <c r="AY249" s="27" t="str">
        <f aca="false">IF(ISNUMBER(AH249),IF(AH249&gt;=Run_Config!$B$33,"PASS","FAIL"),"")</f>
        <v/>
      </c>
    </row>
    <row r="250" customFormat="false" ht="15" hidden="false" customHeight="false" outlineLevel="0" collapsed="false">
      <c r="AR250" s="23" t="str">
        <f aca="false">IFERROR(V250/(U250+V250)*100,"")</f>
        <v/>
      </c>
      <c r="AS250" s="24" t="str">
        <f aca="false">IFERROR(AI250/K250,"")</f>
        <v/>
      </c>
      <c r="AT250" s="24" t="str">
        <f aca="false">IFERROR(IF(AN250="","",AN250*T250/3600),"")</f>
        <v/>
      </c>
      <c r="AU250" s="25" t="str">
        <f aca="false">IFERROR(X250/(AN250*T250),"")</f>
        <v/>
      </c>
      <c r="AV250" s="25" t="str">
        <f aca="false">IFERROR(AN250*T250/3600/X250*1000,"")</f>
        <v/>
      </c>
      <c r="AW250" s="26" t="str">
        <f aca="false">IFERROR(Cost_Model!$B$21*K250*T250/3600/X250*1000000,"")</f>
        <v/>
      </c>
      <c r="AX250" s="27" t="str">
        <f aca="false">IF(ISNUMBER(Z250),IF(Z250&lt;=Run_Config!$B$31,"PASS","FAIL"),"")</f>
        <v/>
      </c>
      <c r="AY250" s="27" t="str">
        <f aca="false">IF(ISNUMBER(AH250),IF(AH250&gt;=Run_Config!$B$33,"PASS","FAIL"),"")</f>
        <v/>
      </c>
    </row>
    <row r="251" customFormat="false" ht="15" hidden="false" customHeight="false" outlineLevel="0" collapsed="false">
      <c r="AR251" s="23" t="str">
        <f aca="false">IFERROR(V251/(U251+V251)*100,"")</f>
        <v/>
      </c>
      <c r="AS251" s="24" t="str">
        <f aca="false">IFERROR(AI251/K251,"")</f>
        <v/>
      </c>
      <c r="AT251" s="24" t="str">
        <f aca="false">IFERROR(IF(AN251="","",AN251*T251/3600),"")</f>
        <v/>
      </c>
      <c r="AU251" s="25" t="str">
        <f aca="false">IFERROR(X251/(AN251*T251),"")</f>
        <v/>
      </c>
      <c r="AV251" s="25" t="str">
        <f aca="false">IFERROR(AN251*T251/3600/X251*1000,"")</f>
        <v/>
      </c>
      <c r="AW251" s="26" t="str">
        <f aca="false">IFERROR(Cost_Model!$B$21*K251*T251/3600/X251*1000000,"")</f>
        <v/>
      </c>
      <c r="AX251" s="27" t="str">
        <f aca="false">IF(ISNUMBER(Z251),IF(Z251&lt;=Run_Config!$B$31,"PASS","FAIL"),"")</f>
        <v/>
      </c>
      <c r="AY251" s="27" t="str">
        <f aca="false">IF(ISNUMBER(AH251),IF(AH251&gt;=Run_Config!$B$33,"PASS","FAIL"),"")</f>
        <v/>
      </c>
    </row>
    <row r="252" customFormat="false" ht="15" hidden="false" customHeight="false" outlineLevel="0" collapsed="false">
      <c r="AR252" s="23" t="str">
        <f aca="false">IFERROR(V252/(U252+V252)*100,"")</f>
        <v/>
      </c>
      <c r="AS252" s="24" t="str">
        <f aca="false">IFERROR(AI252/K252,"")</f>
        <v/>
      </c>
      <c r="AT252" s="24" t="str">
        <f aca="false">IFERROR(IF(AN252="","",AN252*T252/3600),"")</f>
        <v/>
      </c>
      <c r="AU252" s="25" t="str">
        <f aca="false">IFERROR(X252/(AN252*T252),"")</f>
        <v/>
      </c>
      <c r="AV252" s="25" t="str">
        <f aca="false">IFERROR(AN252*T252/3600/X252*1000,"")</f>
        <v/>
      </c>
      <c r="AW252" s="26" t="str">
        <f aca="false">IFERROR(Cost_Model!$B$21*K252*T252/3600/X252*1000000,"")</f>
        <v/>
      </c>
      <c r="AX252" s="27" t="str">
        <f aca="false">IF(ISNUMBER(Z252),IF(Z252&lt;=Run_Config!$B$31,"PASS","FAIL"),"")</f>
        <v/>
      </c>
      <c r="AY252" s="27" t="str">
        <f aca="false">IF(ISNUMBER(AH252),IF(AH252&gt;=Run_Config!$B$33,"PASS","FAIL"),"")</f>
        <v/>
      </c>
    </row>
    <row r="253" customFormat="false" ht="15" hidden="false" customHeight="false" outlineLevel="0" collapsed="false">
      <c r="AR253" s="23" t="str">
        <f aca="false">IFERROR(V253/(U253+V253)*100,"")</f>
        <v/>
      </c>
      <c r="AS253" s="24" t="str">
        <f aca="false">IFERROR(AI253/K253,"")</f>
        <v/>
      </c>
      <c r="AT253" s="24" t="str">
        <f aca="false">IFERROR(IF(AN253="","",AN253*T253/3600),"")</f>
        <v/>
      </c>
      <c r="AU253" s="25" t="str">
        <f aca="false">IFERROR(X253/(AN253*T253),"")</f>
        <v/>
      </c>
      <c r="AV253" s="25" t="str">
        <f aca="false">IFERROR(AN253*T253/3600/X253*1000,"")</f>
        <v/>
      </c>
      <c r="AW253" s="26" t="str">
        <f aca="false">IFERROR(Cost_Model!$B$21*K253*T253/3600/X253*1000000,"")</f>
        <v/>
      </c>
      <c r="AX253" s="27" t="str">
        <f aca="false">IF(ISNUMBER(Z253),IF(Z253&lt;=Run_Config!$B$31,"PASS","FAIL"),"")</f>
        <v/>
      </c>
      <c r="AY253" s="27" t="str">
        <f aca="false">IF(ISNUMBER(AH253),IF(AH253&gt;=Run_Config!$B$33,"PASS","FAIL"),"")</f>
        <v/>
      </c>
    </row>
    <row r="254" customFormat="false" ht="15" hidden="false" customHeight="false" outlineLevel="0" collapsed="false">
      <c r="AR254" s="23" t="str">
        <f aca="false">IFERROR(V254/(U254+V254)*100,"")</f>
        <v/>
      </c>
      <c r="AS254" s="24" t="str">
        <f aca="false">IFERROR(AI254/K254,"")</f>
        <v/>
      </c>
      <c r="AT254" s="24" t="str">
        <f aca="false">IFERROR(IF(AN254="","",AN254*T254/3600),"")</f>
        <v/>
      </c>
      <c r="AU254" s="25" t="str">
        <f aca="false">IFERROR(X254/(AN254*T254),"")</f>
        <v/>
      </c>
      <c r="AV254" s="25" t="str">
        <f aca="false">IFERROR(AN254*T254/3600/X254*1000,"")</f>
        <v/>
      </c>
      <c r="AW254" s="26" t="str">
        <f aca="false">IFERROR(Cost_Model!$B$21*K254*T254/3600/X254*1000000,"")</f>
        <v/>
      </c>
      <c r="AX254" s="27" t="str">
        <f aca="false">IF(ISNUMBER(Z254),IF(Z254&lt;=Run_Config!$B$31,"PASS","FAIL"),"")</f>
        <v/>
      </c>
      <c r="AY254" s="27" t="str">
        <f aca="false">IF(ISNUMBER(AH254),IF(AH254&gt;=Run_Config!$B$33,"PASS","FAIL"),"")</f>
        <v/>
      </c>
    </row>
    <row r="255" customFormat="false" ht="15" hidden="false" customHeight="false" outlineLevel="0" collapsed="false">
      <c r="AR255" s="23" t="str">
        <f aca="false">IFERROR(V255/(U255+V255)*100,"")</f>
        <v/>
      </c>
      <c r="AS255" s="24" t="str">
        <f aca="false">IFERROR(AI255/K255,"")</f>
        <v/>
      </c>
      <c r="AT255" s="24" t="str">
        <f aca="false">IFERROR(IF(AN255="","",AN255*T255/3600),"")</f>
        <v/>
      </c>
      <c r="AU255" s="25" t="str">
        <f aca="false">IFERROR(X255/(AN255*T255),"")</f>
        <v/>
      </c>
      <c r="AV255" s="25" t="str">
        <f aca="false">IFERROR(AN255*T255/3600/X255*1000,"")</f>
        <v/>
      </c>
      <c r="AW255" s="26" t="str">
        <f aca="false">IFERROR(Cost_Model!$B$21*K255*T255/3600/X255*1000000,"")</f>
        <v/>
      </c>
      <c r="AX255" s="27" t="str">
        <f aca="false">IF(ISNUMBER(Z255),IF(Z255&lt;=Run_Config!$B$31,"PASS","FAIL"),"")</f>
        <v/>
      </c>
      <c r="AY255" s="27" t="str">
        <f aca="false">IF(ISNUMBER(AH255),IF(AH255&gt;=Run_Config!$B$33,"PASS","FAIL"),"")</f>
        <v/>
      </c>
    </row>
    <row r="256" customFormat="false" ht="15" hidden="false" customHeight="false" outlineLevel="0" collapsed="false">
      <c r="AR256" s="23" t="str">
        <f aca="false">IFERROR(V256/(U256+V256)*100,"")</f>
        <v/>
      </c>
      <c r="AS256" s="24" t="str">
        <f aca="false">IFERROR(AI256/K256,"")</f>
        <v/>
      </c>
      <c r="AT256" s="24" t="str">
        <f aca="false">IFERROR(IF(AN256="","",AN256*T256/3600),"")</f>
        <v/>
      </c>
      <c r="AU256" s="25" t="str">
        <f aca="false">IFERROR(X256/(AN256*T256),"")</f>
        <v/>
      </c>
      <c r="AV256" s="25" t="str">
        <f aca="false">IFERROR(AN256*T256/3600/X256*1000,"")</f>
        <v/>
      </c>
      <c r="AW256" s="26" t="str">
        <f aca="false">IFERROR(Cost_Model!$B$21*K256*T256/3600/X256*1000000,"")</f>
        <v/>
      </c>
      <c r="AX256" s="27" t="str">
        <f aca="false">IF(ISNUMBER(Z256),IF(Z256&lt;=Run_Config!$B$31,"PASS","FAIL"),"")</f>
        <v/>
      </c>
      <c r="AY256" s="27" t="str">
        <f aca="false">IF(ISNUMBER(AH256),IF(AH256&gt;=Run_Config!$B$33,"PASS","FAIL"),"")</f>
        <v/>
      </c>
    </row>
    <row r="257" customFormat="false" ht="15" hidden="false" customHeight="false" outlineLevel="0" collapsed="false">
      <c r="AR257" s="23" t="str">
        <f aca="false">IFERROR(V257/(U257+V257)*100,"")</f>
        <v/>
      </c>
      <c r="AS257" s="24" t="str">
        <f aca="false">IFERROR(AI257/K257,"")</f>
        <v/>
      </c>
      <c r="AT257" s="24" t="str">
        <f aca="false">IFERROR(IF(AN257="","",AN257*T257/3600),"")</f>
        <v/>
      </c>
      <c r="AU257" s="25" t="str">
        <f aca="false">IFERROR(X257/(AN257*T257),"")</f>
        <v/>
      </c>
      <c r="AV257" s="25" t="str">
        <f aca="false">IFERROR(AN257*T257/3600/X257*1000,"")</f>
        <v/>
      </c>
      <c r="AW257" s="26" t="str">
        <f aca="false">IFERROR(Cost_Model!$B$21*K257*T257/3600/X257*1000000,"")</f>
        <v/>
      </c>
      <c r="AX257" s="27" t="str">
        <f aca="false">IF(ISNUMBER(Z257),IF(Z257&lt;=Run_Config!$B$31,"PASS","FAIL"),"")</f>
        <v/>
      </c>
      <c r="AY257" s="27" t="str">
        <f aca="false">IF(ISNUMBER(AH257),IF(AH257&gt;=Run_Config!$B$33,"PASS","FAIL"),"")</f>
        <v/>
      </c>
    </row>
    <row r="258" customFormat="false" ht="15" hidden="false" customHeight="false" outlineLevel="0" collapsed="false">
      <c r="AR258" s="23" t="str">
        <f aca="false">IFERROR(V258/(U258+V258)*100,"")</f>
        <v/>
      </c>
      <c r="AS258" s="24" t="str">
        <f aca="false">IFERROR(AI258/K258,"")</f>
        <v/>
      </c>
      <c r="AT258" s="24" t="str">
        <f aca="false">IFERROR(IF(AN258="","",AN258*T258/3600),"")</f>
        <v/>
      </c>
      <c r="AU258" s="25" t="str">
        <f aca="false">IFERROR(X258/(AN258*T258),"")</f>
        <v/>
      </c>
      <c r="AV258" s="25" t="str">
        <f aca="false">IFERROR(AN258*T258/3600/X258*1000,"")</f>
        <v/>
      </c>
      <c r="AW258" s="26" t="str">
        <f aca="false">IFERROR(Cost_Model!$B$21*K258*T258/3600/X258*1000000,"")</f>
        <v/>
      </c>
      <c r="AX258" s="27" t="str">
        <f aca="false">IF(ISNUMBER(Z258),IF(Z258&lt;=Run_Config!$B$31,"PASS","FAIL"),"")</f>
        <v/>
      </c>
      <c r="AY258" s="27" t="str">
        <f aca="false">IF(ISNUMBER(AH258),IF(AH258&gt;=Run_Config!$B$33,"PASS","FAIL"),"")</f>
        <v/>
      </c>
    </row>
    <row r="259" customFormat="false" ht="15" hidden="false" customHeight="false" outlineLevel="0" collapsed="false">
      <c r="AR259" s="23" t="str">
        <f aca="false">IFERROR(V259/(U259+V259)*100,"")</f>
        <v/>
      </c>
      <c r="AS259" s="24" t="str">
        <f aca="false">IFERROR(AI259/K259,"")</f>
        <v/>
      </c>
      <c r="AT259" s="24" t="str">
        <f aca="false">IFERROR(IF(AN259="","",AN259*T259/3600),"")</f>
        <v/>
      </c>
      <c r="AU259" s="25" t="str">
        <f aca="false">IFERROR(X259/(AN259*T259),"")</f>
        <v/>
      </c>
      <c r="AV259" s="25" t="str">
        <f aca="false">IFERROR(AN259*T259/3600/X259*1000,"")</f>
        <v/>
      </c>
      <c r="AW259" s="26" t="str">
        <f aca="false">IFERROR(Cost_Model!$B$21*K259*T259/3600/X259*1000000,"")</f>
        <v/>
      </c>
      <c r="AX259" s="27" t="str">
        <f aca="false">IF(ISNUMBER(Z259),IF(Z259&lt;=Run_Config!$B$31,"PASS","FAIL"),"")</f>
        <v/>
      </c>
      <c r="AY259" s="27" t="str">
        <f aca="false">IF(ISNUMBER(AH259),IF(AH259&gt;=Run_Config!$B$33,"PASS","FAIL"),"")</f>
        <v/>
      </c>
    </row>
    <row r="260" customFormat="false" ht="15" hidden="false" customHeight="false" outlineLevel="0" collapsed="false">
      <c r="AR260" s="23" t="str">
        <f aca="false">IFERROR(V260/(U260+V260)*100,"")</f>
        <v/>
      </c>
      <c r="AS260" s="24" t="str">
        <f aca="false">IFERROR(AI260/K260,"")</f>
        <v/>
      </c>
      <c r="AT260" s="24" t="str">
        <f aca="false">IFERROR(IF(AN260="","",AN260*T260/3600),"")</f>
        <v/>
      </c>
      <c r="AU260" s="25" t="str">
        <f aca="false">IFERROR(X260/(AN260*T260),"")</f>
        <v/>
      </c>
      <c r="AV260" s="25" t="str">
        <f aca="false">IFERROR(AN260*T260/3600/X260*1000,"")</f>
        <v/>
      </c>
      <c r="AW260" s="26" t="str">
        <f aca="false">IFERROR(Cost_Model!$B$21*K260*T260/3600/X260*1000000,"")</f>
        <v/>
      </c>
      <c r="AX260" s="27" t="str">
        <f aca="false">IF(ISNUMBER(Z260),IF(Z260&lt;=Run_Config!$B$31,"PASS","FAIL"),"")</f>
        <v/>
      </c>
      <c r="AY260" s="27" t="str">
        <f aca="false">IF(ISNUMBER(AH260),IF(AH260&gt;=Run_Config!$B$33,"PASS","FAIL"),"")</f>
        <v/>
      </c>
    </row>
    <row r="261" customFormat="false" ht="15" hidden="false" customHeight="false" outlineLevel="0" collapsed="false">
      <c r="AR261" s="23" t="str">
        <f aca="false">IFERROR(V261/(U261+V261)*100,"")</f>
        <v/>
      </c>
      <c r="AS261" s="24" t="str">
        <f aca="false">IFERROR(AI261/K261,"")</f>
        <v/>
      </c>
      <c r="AT261" s="24" t="str">
        <f aca="false">IFERROR(IF(AN261="","",AN261*T261/3600),"")</f>
        <v/>
      </c>
      <c r="AU261" s="25" t="str">
        <f aca="false">IFERROR(X261/(AN261*T261),"")</f>
        <v/>
      </c>
      <c r="AV261" s="25" t="str">
        <f aca="false">IFERROR(AN261*T261/3600/X261*1000,"")</f>
        <v/>
      </c>
      <c r="AW261" s="26" t="str">
        <f aca="false">IFERROR(Cost_Model!$B$21*K261*T261/3600/X261*1000000,"")</f>
        <v/>
      </c>
      <c r="AX261" s="27" t="str">
        <f aca="false">IF(ISNUMBER(Z261),IF(Z261&lt;=Run_Config!$B$31,"PASS","FAIL"),"")</f>
        <v/>
      </c>
      <c r="AY261" s="27" t="str">
        <f aca="false">IF(ISNUMBER(AH261),IF(AH261&gt;=Run_Config!$B$33,"PASS","FAIL"),"")</f>
        <v/>
      </c>
    </row>
    <row r="262" customFormat="false" ht="15" hidden="false" customHeight="false" outlineLevel="0" collapsed="false">
      <c r="AR262" s="23" t="str">
        <f aca="false">IFERROR(V262/(U262+V262)*100,"")</f>
        <v/>
      </c>
      <c r="AS262" s="24" t="str">
        <f aca="false">IFERROR(AI262/K262,"")</f>
        <v/>
      </c>
      <c r="AT262" s="24" t="str">
        <f aca="false">IFERROR(IF(AN262="","",AN262*T262/3600),"")</f>
        <v/>
      </c>
      <c r="AU262" s="25" t="str">
        <f aca="false">IFERROR(X262/(AN262*T262),"")</f>
        <v/>
      </c>
      <c r="AV262" s="25" t="str">
        <f aca="false">IFERROR(AN262*T262/3600/X262*1000,"")</f>
        <v/>
      </c>
      <c r="AW262" s="26" t="str">
        <f aca="false">IFERROR(Cost_Model!$B$21*K262*T262/3600/X262*1000000,"")</f>
        <v/>
      </c>
      <c r="AX262" s="27" t="str">
        <f aca="false">IF(ISNUMBER(Z262),IF(Z262&lt;=Run_Config!$B$31,"PASS","FAIL"),"")</f>
        <v/>
      </c>
      <c r="AY262" s="27" t="str">
        <f aca="false">IF(ISNUMBER(AH262),IF(AH262&gt;=Run_Config!$B$33,"PASS","FAIL"),"")</f>
        <v/>
      </c>
    </row>
    <row r="263" customFormat="false" ht="15" hidden="false" customHeight="false" outlineLevel="0" collapsed="false">
      <c r="AR263" s="23" t="str">
        <f aca="false">IFERROR(V263/(U263+V263)*100,"")</f>
        <v/>
      </c>
      <c r="AS263" s="24" t="str">
        <f aca="false">IFERROR(AI263/K263,"")</f>
        <v/>
      </c>
      <c r="AT263" s="24" t="str">
        <f aca="false">IFERROR(IF(AN263="","",AN263*T263/3600),"")</f>
        <v/>
      </c>
      <c r="AU263" s="25" t="str">
        <f aca="false">IFERROR(X263/(AN263*T263),"")</f>
        <v/>
      </c>
      <c r="AV263" s="25" t="str">
        <f aca="false">IFERROR(AN263*T263/3600/X263*1000,"")</f>
        <v/>
      </c>
      <c r="AW263" s="26" t="str">
        <f aca="false">IFERROR(Cost_Model!$B$21*K263*T263/3600/X263*1000000,"")</f>
        <v/>
      </c>
      <c r="AX263" s="27" t="str">
        <f aca="false">IF(ISNUMBER(Z263),IF(Z263&lt;=Run_Config!$B$31,"PASS","FAIL"),"")</f>
        <v/>
      </c>
      <c r="AY263" s="27" t="str">
        <f aca="false">IF(ISNUMBER(AH263),IF(AH263&gt;=Run_Config!$B$33,"PASS","FAIL"),"")</f>
        <v/>
      </c>
    </row>
    <row r="264" customFormat="false" ht="15" hidden="false" customHeight="false" outlineLevel="0" collapsed="false">
      <c r="AR264" s="23" t="str">
        <f aca="false">IFERROR(V264/(U264+V264)*100,"")</f>
        <v/>
      </c>
      <c r="AS264" s="24" t="str">
        <f aca="false">IFERROR(AI264/K264,"")</f>
        <v/>
      </c>
      <c r="AT264" s="24" t="str">
        <f aca="false">IFERROR(IF(AN264="","",AN264*T264/3600),"")</f>
        <v/>
      </c>
      <c r="AU264" s="25" t="str">
        <f aca="false">IFERROR(X264/(AN264*T264),"")</f>
        <v/>
      </c>
      <c r="AV264" s="25" t="str">
        <f aca="false">IFERROR(AN264*T264/3600/X264*1000,"")</f>
        <v/>
      </c>
      <c r="AW264" s="26" t="str">
        <f aca="false">IFERROR(Cost_Model!$B$21*K264*T264/3600/X264*1000000,"")</f>
        <v/>
      </c>
      <c r="AX264" s="27" t="str">
        <f aca="false">IF(ISNUMBER(Z264),IF(Z264&lt;=Run_Config!$B$31,"PASS","FAIL"),"")</f>
        <v/>
      </c>
      <c r="AY264" s="27" t="str">
        <f aca="false">IF(ISNUMBER(AH264),IF(AH264&gt;=Run_Config!$B$33,"PASS","FAIL"),"")</f>
        <v/>
      </c>
    </row>
    <row r="265" customFormat="false" ht="15" hidden="false" customHeight="false" outlineLevel="0" collapsed="false">
      <c r="AR265" s="23" t="str">
        <f aca="false">IFERROR(V265/(U265+V265)*100,"")</f>
        <v/>
      </c>
      <c r="AS265" s="24" t="str">
        <f aca="false">IFERROR(AI265/K265,"")</f>
        <v/>
      </c>
      <c r="AT265" s="24" t="str">
        <f aca="false">IFERROR(IF(AN265="","",AN265*T265/3600),"")</f>
        <v/>
      </c>
      <c r="AU265" s="25" t="str">
        <f aca="false">IFERROR(X265/(AN265*T265),"")</f>
        <v/>
      </c>
      <c r="AV265" s="25" t="str">
        <f aca="false">IFERROR(AN265*T265/3600/X265*1000,"")</f>
        <v/>
      </c>
      <c r="AW265" s="26" t="str">
        <f aca="false">IFERROR(Cost_Model!$B$21*K265*T265/3600/X265*1000000,"")</f>
        <v/>
      </c>
      <c r="AX265" s="27" t="str">
        <f aca="false">IF(ISNUMBER(Z265),IF(Z265&lt;=Run_Config!$B$31,"PASS","FAIL"),"")</f>
        <v/>
      </c>
      <c r="AY265" s="27" t="str">
        <f aca="false">IF(ISNUMBER(AH265),IF(AH265&gt;=Run_Config!$B$33,"PASS","FAIL"),"")</f>
        <v/>
      </c>
    </row>
    <row r="266" customFormat="false" ht="15" hidden="false" customHeight="false" outlineLevel="0" collapsed="false">
      <c r="AR266" s="23" t="str">
        <f aca="false">IFERROR(V266/(U266+V266)*100,"")</f>
        <v/>
      </c>
      <c r="AS266" s="24" t="str">
        <f aca="false">IFERROR(AI266/K266,"")</f>
        <v/>
      </c>
      <c r="AT266" s="24" t="str">
        <f aca="false">IFERROR(IF(AN266="","",AN266*T266/3600),"")</f>
        <v/>
      </c>
      <c r="AU266" s="25" t="str">
        <f aca="false">IFERROR(X266/(AN266*T266),"")</f>
        <v/>
      </c>
      <c r="AV266" s="25" t="str">
        <f aca="false">IFERROR(AN266*T266/3600/X266*1000,"")</f>
        <v/>
      </c>
      <c r="AW266" s="26" t="str">
        <f aca="false">IFERROR(Cost_Model!$B$21*K266*T266/3600/X266*1000000,"")</f>
        <v/>
      </c>
      <c r="AX266" s="27" t="str">
        <f aca="false">IF(ISNUMBER(Z266),IF(Z266&lt;=Run_Config!$B$31,"PASS","FAIL"),"")</f>
        <v/>
      </c>
      <c r="AY266" s="27" t="str">
        <f aca="false">IF(ISNUMBER(AH266),IF(AH266&gt;=Run_Config!$B$33,"PASS","FAIL"),"")</f>
        <v/>
      </c>
    </row>
    <row r="267" customFormat="false" ht="15" hidden="false" customHeight="false" outlineLevel="0" collapsed="false">
      <c r="AR267" s="23" t="str">
        <f aca="false">IFERROR(V267/(U267+V267)*100,"")</f>
        <v/>
      </c>
      <c r="AS267" s="24" t="str">
        <f aca="false">IFERROR(AI267/K267,"")</f>
        <v/>
      </c>
      <c r="AT267" s="24" t="str">
        <f aca="false">IFERROR(IF(AN267="","",AN267*T267/3600),"")</f>
        <v/>
      </c>
      <c r="AU267" s="25" t="str">
        <f aca="false">IFERROR(X267/(AN267*T267),"")</f>
        <v/>
      </c>
      <c r="AV267" s="25" t="str">
        <f aca="false">IFERROR(AN267*T267/3600/X267*1000,"")</f>
        <v/>
      </c>
      <c r="AW267" s="26" t="str">
        <f aca="false">IFERROR(Cost_Model!$B$21*K267*T267/3600/X267*1000000,"")</f>
        <v/>
      </c>
      <c r="AX267" s="27" t="str">
        <f aca="false">IF(ISNUMBER(Z267),IF(Z267&lt;=Run_Config!$B$31,"PASS","FAIL"),"")</f>
        <v/>
      </c>
      <c r="AY267" s="27" t="str">
        <f aca="false">IF(ISNUMBER(AH267),IF(AH267&gt;=Run_Config!$B$33,"PASS","FAIL"),"")</f>
        <v/>
      </c>
    </row>
    <row r="268" customFormat="false" ht="15" hidden="false" customHeight="false" outlineLevel="0" collapsed="false">
      <c r="AR268" s="23" t="str">
        <f aca="false">IFERROR(V268/(U268+V268)*100,"")</f>
        <v/>
      </c>
      <c r="AS268" s="24" t="str">
        <f aca="false">IFERROR(AI268/K268,"")</f>
        <v/>
      </c>
      <c r="AT268" s="24" t="str">
        <f aca="false">IFERROR(IF(AN268="","",AN268*T268/3600),"")</f>
        <v/>
      </c>
      <c r="AU268" s="25" t="str">
        <f aca="false">IFERROR(X268/(AN268*T268),"")</f>
        <v/>
      </c>
      <c r="AV268" s="25" t="str">
        <f aca="false">IFERROR(AN268*T268/3600/X268*1000,"")</f>
        <v/>
      </c>
      <c r="AW268" s="26" t="str">
        <f aca="false">IFERROR(Cost_Model!$B$21*K268*T268/3600/X268*1000000,"")</f>
        <v/>
      </c>
      <c r="AX268" s="27" t="str">
        <f aca="false">IF(ISNUMBER(Z268),IF(Z268&lt;=Run_Config!$B$31,"PASS","FAIL"),"")</f>
        <v/>
      </c>
      <c r="AY268" s="27" t="str">
        <f aca="false">IF(ISNUMBER(AH268),IF(AH268&gt;=Run_Config!$B$33,"PASS","FAIL"),"")</f>
        <v/>
      </c>
    </row>
    <row r="269" customFormat="false" ht="15" hidden="false" customHeight="false" outlineLevel="0" collapsed="false">
      <c r="AR269" s="23" t="str">
        <f aca="false">IFERROR(V269/(U269+V269)*100,"")</f>
        <v/>
      </c>
      <c r="AS269" s="24" t="str">
        <f aca="false">IFERROR(AI269/K269,"")</f>
        <v/>
      </c>
      <c r="AT269" s="24" t="str">
        <f aca="false">IFERROR(IF(AN269="","",AN269*T269/3600),"")</f>
        <v/>
      </c>
      <c r="AU269" s="25" t="str">
        <f aca="false">IFERROR(X269/(AN269*T269),"")</f>
        <v/>
      </c>
      <c r="AV269" s="25" t="str">
        <f aca="false">IFERROR(AN269*T269/3600/X269*1000,"")</f>
        <v/>
      </c>
      <c r="AW269" s="26" t="str">
        <f aca="false">IFERROR(Cost_Model!$B$21*K269*T269/3600/X269*1000000,"")</f>
        <v/>
      </c>
      <c r="AX269" s="27" t="str">
        <f aca="false">IF(ISNUMBER(Z269),IF(Z269&lt;=Run_Config!$B$31,"PASS","FAIL"),"")</f>
        <v/>
      </c>
      <c r="AY269" s="27" t="str">
        <f aca="false">IF(ISNUMBER(AH269),IF(AH269&gt;=Run_Config!$B$33,"PASS","FAIL"),"")</f>
        <v/>
      </c>
    </row>
    <row r="270" customFormat="false" ht="15" hidden="false" customHeight="false" outlineLevel="0" collapsed="false">
      <c r="AR270" s="23" t="str">
        <f aca="false">IFERROR(V270/(U270+V270)*100,"")</f>
        <v/>
      </c>
      <c r="AS270" s="24" t="str">
        <f aca="false">IFERROR(AI270/K270,"")</f>
        <v/>
      </c>
      <c r="AT270" s="24" t="str">
        <f aca="false">IFERROR(IF(AN270="","",AN270*T270/3600),"")</f>
        <v/>
      </c>
      <c r="AU270" s="25" t="str">
        <f aca="false">IFERROR(X270/(AN270*T270),"")</f>
        <v/>
      </c>
      <c r="AV270" s="25" t="str">
        <f aca="false">IFERROR(AN270*T270/3600/X270*1000,"")</f>
        <v/>
      </c>
      <c r="AW270" s="26" t="str">
        <f aca="false">IFERROR(Cost_Model!$B$21*K270*T270/3600/X270*1000000,"")</f>
        <v/>
      </c>
      <c r="AX270" s="27" t="str">
        <f aca="false">IF(ISNUMBER(Z270),IF(Z270&lt;=Run_Config!$B$31,"PASS","FAIL"),"")</f>
        <v/>
      </c>
      <c r="AY270" s="27" t="str">
        <f aca="false">IF(ISNUMBER(AH270),IF(AH270&gt;=Run_Config!$B$33,"PASS","FAIL"),"")</f>
        <v/>
      </c>
    </row>
    <row r="271" customFormat="false" ht="15" hidden="false" customHeight="false" outlineLevel="0" collapsed="false">
      <c r="AR271" s="23" t="str">
        <f aca="false">IFERROR(V271/(U271+V271)*100,"")</f>
        <v/>
      </c>
      <c r="AS271" s="24" t="str">
        <f aca="false">IFERROR(AI271/K271,"")</f>
        <v/>
      </c>
      <c r="AT271" s="24" t="str">
        <f aca="false">IFERROR(IF(AN271="","",AN271*T271/3600),"")</f>
        <v/>
      </c>
      <c r="AU271" s="25" t="str">
        <f aca="false">IFERROR(X271/(AN271*T271),"")</f>
        <v/>
      </c>
      <c r="AV271" s="25" t="str">
        <f aca="false">IFERROR(AN271*T271/3600/X271*1000,"")</f>
        <v/>
      </c>
      <c r="AW271" s="26" t="str">
        <f aca="false">IFERROR(Cost_Model!$B$21*K271*T271/3600/X271*1000000,"")</f>
        <v/>
      </c>
      <c r="AX271" s="27" t="str">
        <f aca="false">IF(ISNUMBER(Z271),IF(Z271&lt;=Run_Config!$B$31,"PASS","FAIL"),"")</f>
        <v/>
      </c>
      <c r="AY271" s="27" t="str">
        <f aca="false">IF(ISNUMBER(AH271),IF(AH271&gt;=Run_Config!$B$33,"PASS","FAIL"),"")</f>
        <v/>
      </c>
    </row>
    <row r="272" customFormat="false" ht="15" hidden="false" customHeight="false" outlineLevel="0" collapsed="false">
      <c r="AR272" s="23" t="str">
        <f aca="false">IFERROR(V272/(U272+V272)*100,"")</f>
        <v/>
      </c>
      <c r="AS272" s="24" t="str">
        <f aca="false">IFERROR(AI272/K272,"")</f>
        <v/>
      </c>
      <c r="AT272" s="24" t="str">
        <f aca="false">IFERROR(IF(AN272="","",AN272*T272/3600),"")</f>
        <v/>
      </c>
      <c r="AU272" s="25" t="str">
        <f aca="false">IFERROR(X272/(AN272*T272),"")</f>
        <v/>
      </c>
      <c r="AV272" s="25" t="str">
        <f aca="false">IFERROR(AN272*T272/3600/X272*1000,"")</f>
        <v/>
      </c>
      <c r="AW272" s="26" t="str">
        <f aca="false">IFERROR(Cost_Model!$B$21*K272*T272/3600/X272*1000000,"")</f>
        <v/>
      </c>
      <c r="AX272" s="27" t="str">
        <f aca="false">IF(ISNUMBER(Z272),IF(Z272&lt;=Run_Config!$B$31,"PASS","FAIL"),"")</f>
        <v/>
      </c>
      <c r="AY272" s="27" t="str">
        <f aca="false">IF(ISNUMBER(AH272),IF(AH272&gt;=Run_Config!$B$33,"PASS","FAIL"),"")</f>
        <v/>
      </c>
    </row>
    <row r="273" customFormat="false" ht="15" hidden="false" customHeight="false" outlineLevel="0" collapsed="false">
      <c r="AR273" s="23" t="str">
        <f aca="false">IFERROR(V273/(U273+V273)*100,"")</f>
        <v/>
      </c>
      <c r="AS273" s="24" t="str">
        <f aca="false">IFERROR(AI273/K273,"")</f>
        <v/>
      </c>
      <c r="AT273" s="24" t="str">
        <f aca="false">IFERROR(IF(AN273="","",AN273*T273/3600),"")</f>
        <v/>
      </c>
      <c r="AU273" s="25" t="str">
        <f aca="false">IFERROR(X273/(AN273*T273),"")</f>
        <v/>
      </c>
      <c r="AV273" s="25" t="str">
        <f aca="false">IFERROR(AN273*T273/3600/X273*1000,"")</f>
        <v/>
      </c>
      <c r="AW273" s="26" t="str">
        <f aca="false">IFERROR(Cost_Model!$B$21*K273*T273/3600/X273*1000000,"")</f>
        <v/>
      </c>
      <c r="AX273" s="27" t="str">
        <f aca="false">IF(ISNUMBER(Z273),IF(Z273&lt;=Run_Config!$B$31,"PASS","FAIL"),"")</f>
        <v/>
      </c>
      <c r="AY273" s="27" t="str">
        <f aca="false">IF(ISNUMBER(AH273),IF(AH273&gt;=Run_Config!$B$33,"PASS","FAIL"),"")</f>
        <v/>
      </c>
    </row>
    <row r="274" customFormat="false" ht="15" hidden="false" customHeight="false" outlineLevel="0" collapsed="false">
      <c r="AR274" s="23" t="str">
        <f aca="false">IFERROR(V274/(U274+V274)*100,"")</f>
        <v/>
      </c>
      <c r="AS274" s="24" t="str">
        <f aca="false">IFERROR(AI274/K274,"")</f>
        <v/>
      </c>
      <c r="AT274" s="24" t="str">
        <f aca="false">IFERROR(IF(AN274="","",AN274*T274/3600),"")</f>
        <v/>
      </c>
      <c r="AU274" s="25" t="str">
        <f aca="false">IFERROR(X274/(AN274*T274),"")</f>
        <v/>
      </c>
      <c r="AV274" s="25" t="str">
        <f aca="false">IFERROR(AN274*T274/3600/X274*1000,"")</f>
        <v/>
      </c>
      <c r="AW274" s="26" t="str">
        <f aca="false">IFERROR(Cost_Model!$B$21*K274*T274/3600/X274*1000000,"")</f>
        <v/>
      </c>
      <c r="AX274" s="27" t="str">
        <f aca="false">IF(ISNUMBER(Z274),IF(Z274&lt;=Run_Config!$B$31,"PASS","FAIL"),"")</f>
        <v/>
      </c>
      <c r="AY274" s="27" t="str">
        <f aca="false">IF(ISNUMBER(AH274),IF(AH274&gt;=Run_Config!$B$33,"PASS","FAIL"),"")</f>
        <v/>
      </c>
    </row>
    <row r="275" customFormat="false" ht="15" hidden="false" customHeight="false" outlineLevel="0" collapsed="false">
      <c r="AR275" s="23" t="str">
        <f aca="false">IFERROR(V275/(U275+V275)*100,"")</f>
        <v/>
      </c>
      <c r="AS275" s="24" t="str">
        <f aca="false">IFERROR(AI275/K275,"")</f>
        <v/>
      </c>
      <c r="AT275" s="24" t="str">
        <f aca="false">IFERROR(IF(AN275="","",AN275*T275/3600),"")</f>
        <v/>
      </c>
      <c r="AU275" s="25" t="str">
        <f aca="false">IFERROR(X275/(AN275*T275),"")</f>
        <v/>
      </c>
      <c r="AV275" s="25" t="str">
        <f aca="false">IFERROR(AN275*T275/3600/X275*1000,"")</f>
        <v/>
      </c>
      <c r="AW275" s="26" t="str">
        <f aca="false">IFERROR(Cost_Model!$B$21*K275*T275/3600/X275*1000000,"")</f>
        <v/>
      </c>
      <c r="AX275" s="27" t="str">
        <f aca="false">IF(ISNUMBER(Z275),IF(Z275&lt;=Run_Config!$B$31,"PASS","FAIL"),"")</f>
        <v/>
      </c>
      <c r="AY275" s="27" t="str">
        <f aca="false">IF(ISNUMBER(AH275),IF(AH275&gt;=Run_Config!$B$33,"PASS","FAIL"),"")</f>
        <v/>
      </c>
    </row>
    <row r="276" customFormat="false" ht="15" hidden="false" customHeight="false" outlineLevel="0" collapsed="false">
      <c r="AR276" s="23" t="str">
        <f aca="false">IFERROR(V276/(U276+V276)*100,"")</f>
        <v/>
      </c>
      <c r="AS276" s="24" t="str">
        <f aca="false">IFERROR(AI276/K276,"")</f>
        <v/>
      </c>
      <c r="AT276" s="24" t="str">
        <f aca="false">IFERROR(IF(AN276="","",AN276*T276/3600),"")</f>
        <v/>
      </c>
      <c r="AU276" s="25" t="str">
        <f aca="false">IFERROR(X276/(AN276*T276),"")</f>
        <v/>
      </c>
      <c r="AV276" s="25" t="str">
        <f aca="false">IFERROR(AN276*T276/3600/X276*1000,"")</f>
        <v/>
      </c>
      <c r="AW276" s="26" t="str">
        <f aca="false">IFERROR(Cost_Model!$B$21*K276*T276/3600/X276*1000000,"")</f>
        <v/>
      </c>
      <c r="AX276" s="27" t="str">
        <f aca="false">IF(ISNUMBER(Z276),IF(Z276&lt;=Run_Config!$B$31,"PASS","FAIL"),"")</f>
        <v/>
      </c>
      <c r="AY276" s="27" t="str">
        <f aca="false">IF(ISNUMBER(AH276),IF(AH276&gt;=Run_Config!$B$33,"PASS","FAIL"),"")</f>
        <v/>
      </c>
    </row>
    <row r="277" customFormat="false" ht="15" hidden="false" customHeight="false" outlineLevel="0" collapsed="false">
      <c r="AR277" s="23" t="str">
        <f aca="false">IFERROR(V277/(U277+V277)*100,"")</f>
        <v/>
      </c>
      <c r="AS277" s="24" t="str">
        <f aca="false">IFERROR(AI277/K277,"")</f>
        <v/>
      </c>
      <c r="AT277" s="24" t="str">
        <f aca="false">IFERROR(IF(AN277="","",AN277*T277/3600),"")</f>
        <v/>
      </c>
      <c r="AU277" s="25" t="str">
        <f aca="false">IFERROR(X277/(AN277*T277),"")</f>
        <v/>
      </c>
      <c r="AV277" s="25" t="str">
        <f aca="false">IFERROR(AN277*T277/3600/X277*1000,"")</f>
        <v/>
      </c>
      <c r="AW277" s="26" t="str">
        <f aca="false">IFERROR(Cost_Model!$B$21*K277*T277/3600/X277*1000000,"")</f>
        <v/>
      </c>
      <c r="AX277" s="27" t="str">
        <f aca="false">IF(ISNUMBER(Z277),IF(Z277&lt;=Run_Config!$B$31,"PASS","FAIL"),"")</f>
        <v/>
      </c>
      <c r="AY277" s="27" t="str">
        <f aca="false">IF(ISNUMBER(AH277),IF(AH277&gt;=Run_Config!$B$33,"PASS","FAIL"),"")</f>
        <v/>
      </c>
    </row>
    <row r="278" customFormat="false" ht="15" hidden="false" customHeight="false" outlineLevel="0" collapsed="false">
      <c r="AR278" s="23" t="str">
        <f aca="false">IFERROR(V278/(U278+V278)*100,"")</f>
        <v/>
      </c>
      <c r="AS278" s="24" t="str">
        <f aca="false">IFERROR(AI278/K278,"")</f>
        <v/>
      </c>
      <c r="AT278" s="24" t="str">
        <f aca="false">IFERROR(IF(AN278="","",AN278*T278/3600),"")</f>
        <v/>
      </c>
      <c r="AU278" s="25" t="str">
        <f aca="false">IFERROR(X278/(AN278*T278),"")</f>
        <v/>
      </c>
      <c r="AV278" s="25" t="str">
        <f aca="false">IFERROR(AN278*T278/3600/X278*1000,"")</f>
        <v/>
      </c>
      <c r="AW278" s="26" t="str">
        <f aca="false">IFERROR(Cost_Model!$B$21*K278*T278/3600/X278*1000000,"")</f>
        <v/>
      </c>
      <c r="AX278" s="27" t="str">
        <f aca="false">IF(ISNUMBER(Z278),IF(Z278&lt;=Run_Config!$B$31,"PASS","FAIL"),"")</f>
        <v/>
      </c>
      <c r="AY278" s="27" t="str">
        <f aca="false">IF(ISNUMBER(AH278),IF(AH278&gt;=Run_Config!$B$33,"PASS","FAIL"),"")</f>
        <v/>
      </c>
    </row>
    <row r="279" customFormat="false" ht="15" hidden="false" customHeight="false" outlineLevel="0" collapsed="false">
      <c r="AR279" s="23" t="str">
        <f aca="false">IFERROR(V279/(U279+V279)*100,"")</f>
        <v/>
      </c>
      <c r="AS279" s="24" t="str">
        <f aca="false">IFERROR(AI279/K279,"")</f>
        <v/>
      </c>
      <c r="AT279" s="24" t="str">
        <f aca="false">IFERROR(IF(AN279="","",AN279*T279/3600),"")</f>
        <v/>
      </c>
      <c r="AU279" s="25" t="str">
        <f aca="false">IFERROR(X279/(AN279*T279),"")</f>
        <v/>
      </c>
      <c r="AV279" s="25" t="str">
        <f aca="false">IFERROR(AN279*T279/3600/X279*1000,"")</f>
        <v/>
      </c>
      <c r="AW279" s="26" t="str">
        <f aca="false">IFERROR(Cost_Model!$B$21*K279*T279/3600/X279*1000000,"")</f>
        <v/>
      </c>
      <c r="AX279" s="27" t="str">
        <f aca="false">IF(ISNUMBER(Z279),IF(Z279&lt;=Run_Config!$B$31,"PASS","FAIL"),"")</f>
        <v/>
      </c>
      <c r="AY279" s="27" t="str">
        <f aca="false">IF(ISNUMBER(AH279),IF(AH279&gt;=Run_Config!$B$33,"PASS","FAIL"),"")</f>
        <v/>
      </c>
    </row>
    <row r="280" customFormat="false" ht="15" hidden="false" customHeight="false" outlineLevel="0" collapsed="false">
      <c r="AR280" s="23" t="str">
        <f aca="false">IFERROR(V280/(U280+V280)*100,"")</f>
        <v/>
      </c>
      <c r="AS280" s="24" t="str">
        <f aca="false">IFERROR(AI280/K280,"")</f>
        <v/>
      </c>
      <c r="AT280" s="24" t="str">
        <f aca="false">IFERROR(IF(AN280="","",AN280*T280/3600),"")</f>
        <v/>
      </c>
      <c r="AU280" s="25" t="str">
        <f aca="false">IFERROR(X280/(AN280*T280),"")</f>
        <v/>
      </c>
      <c r="AV280" s="25" t="str">
        <f aca="false">IFERROR(AN280*T280/3600/X280*1000,"")</f>
        <v/>
      </c>
      <c r="AW280" s="26" t="str">
        <f aca="false">IFERROR(Cost_Model!$B$21*K280*T280/3600/X280*1000000,"")</f>
        <v/>
      </c>
      <c r="AX280" s="27" t="str">
        <f aca="false">IF(ISNUMBER(Z280),IF(Z280&lt;=Run_Config!$B$31,"PASS","FAIL"),"")</f>
        <v/>
      </c>
      <c r="AY280" s="27" t="str">
        <f aca="false">IF(ISNUMBER(AH280),IF(AH280&gt;=Run_Config!$B$33,"PASS","FAIL"),"")</f>
        <v/>
      </c>
    </row>
    <row r="281" customFormat="false" ht="15" hidden="false" customHeight="false" outlineLevel="0" collapsed="false">
      <c r="AR281" s="23" t="str">
        <f aca="false">IFERROR(V281/(U281+V281)*100,"")</f>
        <v/>
      </c>
      <c r="AS281" s="24" t="str">
        <f aca="false">IFERROR(AI281/K281,"")</f>
        <v/>
      </c>
      <c r="AT281" s="24" t="str">
        <f aca="false">IFERROR(IF(AN281="","",AN281*T281/3600),"")</f>
        <v/>
      </c>
      <c r="AU281" s="25" t="str">
        <f aca="false">IFERROR(X281/(AN281*T281),"")</f>
        <v/>
      </c>
      <c r="AV281" s="25" t="str">
        <f aca="false">IFERROR(AN281*T281/3600/X281*1000,"")</f>
        <v/>
      </c>
      <c r="AW281" s="26" t="str">
        <f aca="false">IFERROR(Cost_Model!$B$21*K281*T281/3600/X281*1000000,"")</f>
        <v/>
      </c>
      <c r="AX281" s="27" t="str">
        <f aca="false">IF(ISNUMBER(Z281),IF(Z281&lt;=Run_Config!$B$31,"PASS","FAIL"),"")</f>
        <v/>
      </c>
      <c r="AY281" s="27" t="str">
        <f aca="false">IF(ISNUMBER(AH281),IF(AH281&gt;=Run_Config!$B$33,"PASS","FAIL"),"")</f>
        <v/>
      </c>
    </row>
    <row r="282" customFormat="false" ht="15" hidden="false" customHeight="false" outlineLevel="0" collapsed="false">
      <c r="AR282" s="23" t="str">
        <f aca="false">IFERROR(V282/(U282+V282)*100,"")</f>
        <v/>
      </c>
      <c r="AS282" s="24" t="str">
        <f aca="false">IFERROR(AI282/K282,"")</f>
        <v/>
      </c>
      <c r="AT282" s="24" t="str">
        <f aca="false">IFERROR(IF(AN282="","",AN282*T282/3600),"")</f>
        <v/>
      </c>
      <c r="AU282" s="25" t="str">
        <f aca="false">IFERROR(X282/(AN282*T282),"")</f>
        <v/>
      </c>
      <c r="AV282" s="25" t="str">
        <f aca="false">IFERROR(AN282*T282/3600/X282*1000,"")</f>
        <v/>
      </c>
      <c r="AW282" s="26" t="str">
        <f aca="false">IFERROR(Cost_Model!$B$21*K282*T282/3600/X282*1000000,"")</f>
        <v/>
      </c>
      <c r="AX282" s="27" t="str">
        <f aca="false">IF(ISNUMBER(Z282),IF(Z282&lt;=Run_Config!$B$31,"PASS","FAIL"),"")</f>
        <v/>
      </c>
      <c r="AY282" s="27" t="str">
        <f aca="false">IF(ISNUMBER(AH282),IF(AH282&gt;=Run_Config!$B$33,"PASS","FAIL"),"")</f>
        <v/>
      </c>
    </row>
    <row r="283" customFormat="false" ht="15" hidden="false" customHeight="false" outlineLevel="0" collapsed="false">
      <c r="AR283" s="23" t="str">
        <f aca="false">IFERROR(V283/(U283+V283)*100,"")</f>
        <v/>
      </c>
      <c r="AS283" s="24" t="str">
        <f aca="false">IFERROR(AI283/K283,"")</f>
        <v/>
      </c>
      <c r="AT283" s="24" t="str">
        <f aca="false">IFERROR(IF(AN283="","",AN283*T283/3600),"")</f>
        <v/>
      </c>
      <c r="AU283" s="25" t="str">
        <f aca="false">IFERROR(X283/(AN283*T283),"")</f>
        <v/>
      </c>
      <c r="AV283" s="25" t="str">
        <f aca="false">IFERROR(AN283*T283/3600/X283*1000,"")</f>
        <v/>
      </c>
      <c r="AW283" s="26" t="str">
        <f aca="false">IFERROR(Cost_Model!$B$21*K283*T283/3600/X283*1000000,"")</f>
        <v/>
      </c>
      <c r="AX283" s="27" t="str">
        <f aca="false">IF(ISNUMBER(Z283),IF(Z283&lt;=Run_Config!$B$31,"PASS","FAIL"),"")</f>
        <v/>
      </c>
      <c r="AY283" s="27" t="str">
        <f aca="false">IF(ISNUMBER(AH283),IF(AH283&gt;=Run_Config!$B$33,"PASS","FAIL"),"")</f>
        <v/>
      </c>
    </row>
    <row r="284" customFormat="false" ht="15" hidden="false" customHeight="false" outlineLevel="0" collapsed="false">
      <c r="AR284" s="23" t="str">
        <f aca="false">IFERROR(V284/(U284+V284)*100,"")</f>
        <v/>
      </c>
      <c r="AS284" s="24" t="str">
        <f aca="false">IFERROR(AI284/K284,"")</f>
        <v/>
      </c>
      <c r="AT284" s="24" t="str">
        <f aca="false">IFERROR(IF(AN284="","",AN284*T284/3600),"")</f>
        <v/>
      </c>
      <c r="AU284" s="25" t="str">
        <f aca="false">IFERROR(X284/(AN284*T284),"")</f>
        <v/>
      </c>
      <c r="AV284" s="25" t="str">
        <f aca="false">IFERROR(AN284*T284/3600/X284*1000,"")</f>
        <v/>
      </c>
      <c r="AW284" s="26" t="str">
        <f aca="false">IFERROR(Cost_Model!$B$21*K284*T284/3600/X284*1000000,"")</f>
        <v/>
      </c>
      <c r="AX284" s="27" t="str">
        <f aca="false">IF(ISNUMBER(Z284),IF(Z284&lt;=Run_Config!$B$31,"PASS","FAIL"),"")</f>
        <v/>
      </c>
      <c r="AY284" s="27" t="str">
        <f aca="false">IF(ISNUMBER(AH284),IF(AH284&gt;=Run_Config!$B$33,"PASS","FAIL"),"")</f>
        <v/>
      </c>
    </row>
    <row r="285" customFormat="false" ht="15" hidden="false" customHeight="false" outlineLevel="0" collapsed="false">
      <c r="AR285" s="23" t="str">
        <f aca="false">IFERROR(V285/(U285+V285)*100,"")</f>
        <v/>
      </c>
      <c r="AS285" s="24" t="str">
        <f aca="false">IFERROR(AI285/K285,"")</f>
        <v/>
      </c>
      <c r="AT285" s="24" t="str">
        <f aca="false">IFERROR(IF(AN285="","",AN285*T285/3600),"")</f>
        <v/>
      </c>
      <c r="AU285" s="25" t="str">
        <f aca="false">IFERROR(X285/(AN285*T285),"")</f>
        <v/>
      </c>
      <c r="AV285" s="25" t="str">
        <f aca="false">IFERROR(AN285*T285/3600/X285*1000,"")</f>
        <v/>
      </c>
      <c r="AW285" s="26" t="str">
        <f aca="false">IFERROR(Cost_Model!$B$21*K285*T285/3600/X285*1000000,"")</f>
        <v/>
      </c>
      <c r="AX285" s="27" t="str">
        <f aca="false">IF(ISNUMBER(Z285),IF(Z285&lt;=Run_Config!$B$31,"PASS","FAIL"),"")</f>
        <v/>
      </c>
      <c r="AY285" s="27" t="str">
        <f aca="false">IF(ISNUMBER(AH285),IF(AH285&gt;=Run_Config!$B$33,"PASS","FAIL"),"")</f>
        <v/>
      </c>
    </row>
    <row r="286" customFormat="false" ht="15" hidden="false" customHeight="false" outlineLevel="0" collapsed="false">
      <c r="AR286" s="23" t="str">
        <f aca="false">IFERROR(V286/(U286+V286)*100,"")</f>
        <v/>
      </c>
      <c r="AS286" s="24" t="str">
        <f aca="false">IFERROR(AI286/K286,"")</f>
        <v/>
      </c>
      <c r="AT286" s="24" t="str">
        <f aca="false">IFERROR(IF(AN286="","",AN286*T286/3600),"")</f>
        <v/>
      </c>
      <c r="AU286" s="25" t="str">
        <f aca="false">IFERROR(X286/(AN286*T286),"")</f>
        <v/>
      </c>
      <c r="AV286" s="25" t="str">
        <f aca="false">IFERROR(AN286*T286/3600/X286*1000,"")</f>
        <v/>
      </c>
      <c r="AW286" s="26" t="str">
        <f aca="false">IFERROR(Cost_Model!$B$21*K286*T286/3600/X286*1000000,"")</f>
        <v/>
      </c>
      <c r="AX286" s="27" t="str">
        <f aca="false">IF(ISNUMBER(Z286),IF(Z286&lt;=Run_Config!$B$31,"PASS","FAIL"),"")</f>
        <v/>
      </c>
      <c r="AY286" s="27" t="str">
        <f aca="false">IF(ISNUMBER(AH286),IF(AH286&gt;=Run_Config!$B$33,"PASS","FAIL"),"")</f>
        <v/>
      </c>
    </row>
    <row r="287" customFormat="false" ht="15" hidden="false" customHeight="false" outlineLevel="0" collapsed="false">
      <c r="AR287" s="23" t="str">
        <f aca="false">IFERROR(V287/(U287+V287)*100,"")</f>
        <v/>
      </c>
      <c r="AS287" s="24" t="str">
        <f aca="false">IFERROR(AI287/K287,"")</f>
        <v/>
      </c>
      <c r="AT287" s="24" t="str">
        <f aca="false">IFERROR(IF(AN287="","",AN287*T287/3600),"")</f>
        <v/>
      </c>
      <c r="AU287" s="25" t="str">
        <f aca="false">IFERROR(X287/(AN287*T287),"")</f>
        <v/>
      </c>
      <c r="AV287" s="25" t="str">
        <f aca="false">IFERROR(AN287*T287/3600/X287*1000,"")</f>
        <v/>
      </c>
      <c r="AW287" s="26" t="str">
        <f aca="false">IFERROR(Cost_Model!$B$21*K287*T287/3600/X287*1000000,"")</f>
        <v/>
      </c>
      <c r="AX287" s="27" t="str">
        <f aca="false">IF(ISNUMBER(Z287),IF(Z287&lt;=Run_Config!$B$31,"PASS","FAIL"),"")</f>
        <v/>
      </c>
      <c r="AY287" s="27" t="str">
        <f aca="false">IF(ISNUMBER(AH287),IF(AH287&gt;=Run_Config!$B$33,"PASS","FAIL"),"")</f>
        <v/>
      </c>
    </row>
    <row r="288" customFormat="false" ht="15" hidden="false" customHeight="false" outlineLevel="0" collapsed="false">
      <c r="AR288" s="23" t="str">
        <f aca="false">IFERROR(V288/(U288+V288)*100,"")</f>
        <v/>
      </c>
      <c r="AS288" s="24" t="str">
        <f aca="false">IFERROR(AI288/K288,"")</f>
        <v/>
      </c>
      <c r="AT288" s="24" t="str">
        <f aca="false">IFERROR(IF(AN288="","",AN288*T288/3600),"")</f>
        <v/>
      </c>
      <c r="AU288" s="25" t="str">
        <f aca="false">IFERROR(X288/(AN288*T288),"")</f>
        <v/>
      </c>
      <c r="AV288" s="25" t="str">
        <f aca="false">IFERROR(AN288*T288/3600/X288*1000,"")</f>
        <v/>
      </c>
      <c r="AW288" s="26" t="str">
        <f aca="false">IFERROR(Cost_Model!$B$21*K288*T288/3600/X288*1000000,"")</f>
        <v/>
      </c>
      <c r="AX288" s="27" t="str">
        <f aca="false">IF(ISNUMBER(Z288),IF(Z288&lt;=Run_Config!$B$31,"PASS","FAIL"),"")</f>
        <v/>
      </c>
      <c r="AY288" s="27" t="str">
        <f aca="false">IF(ISNUMBER(AH288),IF(AH288&gt;=Run_Config!$B$33,"PASS","FAIL"),"")</f>
        <v/>
      </c>
    </row>
    <row r="289" customFormat="false" ht="15" hidden="false" customHeight="false" outlineLevel="0" collapsed="false">
      <c r="AR289" s="23" t="str">
        <f aca="false">IFERROR(V289/(U289+V289)*100,"")</f>
        <v/>
      </c>
      <c r="AS289" s="24" t="str">
        <f aca="false">IFERROR(AI289/K289,"")</f>
        <v/>
      </c>
      <c r="AT289" s="24" t="str">
        <f aca="false">IFERROR(IF(AN289="","",AN289*T289/3600),"")</f>
        <v/>
      </c>
      <c r="AU289" s="25" t="str">
        <f aca="false">IFERROR(X289/(AN289*T289),"")</f>
        <v/>
      </c>
      <c r="AV289" s="25" t="str">
        <f aca="false">IFERROR(AN289*T289/3600/X289*1000,"")</f>
        <v/>
      </c>
      <c r="AW289" s="26" t="str">
        <f aca="false">IFERROR(Cost_Model!$B$21*K289*T289/3600/X289*1000000,"")</f>
        <v/>
      </c>
      <c r="AX289" s="27" t="str">
        <f aca="false">IF(ISNUMBER(Z289),IF(Z289&lt;=Run_Config!$B$31,"PASS","FAIL"),"")</f>
        <v/>
      </c>
      <c r="AY289" s="27" t="str">
        <f aca="false">IF(ISNUMBER(AH289),IF(AH289&gt;=Run_Config!$B$33,"PASS","FAIL"),"")</f>
        <v/>
      </c>
    </row>
    <row r="290" customFormat="false" ht="15" hidden="false" customHeight="false" outlineLevel="0" collapsed="false">
      <c r="AR290" s="23" t="str">
        <f aca="false">IFERROR(V290/(U290+V290)*100,"")</f>
        <v/>
      </c>
      <c r="AS290" s="24" t="str">
        <f aca="false">IFERROR(AI290/K290,"")</f>
        <v/>
      </c>
      <c r="AT290" s="24" t="str">
        <f aca="false">IFERROR(IF(AN290="","",AN290*T290/3600),"")</f>
        <v/>
      </c>
      <c r="AU290" s="25" t="str">
        <f aca="false">IFERROR(X290/(AN290*T290),"")</f>
        <v/>
      </c>
      <c r="AV290" s="25" t="str">
        <f aca="false">IFERROR(AN290*T290/3600/X290*1000,"")</f>
        <v/>
      </c>
      <c r="AW290" s="26" t="str">
        <f aca="false">IFERROR(Cost_Model!$B$21*K290*T290/3600/X290*1000000,"")</f>
        <v/>
      </c>
      <c r="AX290" s="27" t="str">
        <f aca="false">IF(ISNUMBER(Z290),IF(Z290&lt;=Run_Config!$B$31,"PASS","FAIL"),"")</f>
        <v/>
      </c>
      <c r="AY290" s="27" t="str">
        <f aca="false">IF(ISNUMBER(AH290),IF(AH290&gt;=Run_Config!$B$33,"PASS","FAIL"),"")</f>
        <v/>
      </c>
    </row>
    <row r="291" customFormat="false" ht="15" hidden="false" customHeight="false" outlineLevel="0" collapsed="false">
      <c r="AR291" s="23" t="str">
        <f aca="false">IFERROR(V291/(U291+V291)*100,"")</f>
        <v/>
      </c>
      <c r="AS291" s="24" t="str">
        <f aca="false">IFERROR(AI291/K291,"")</f>
        <v/>
      </c>
      <c r="AT291" s="24" t="str">
        <f aca="false">IFERROR(IF(AN291="","",AN291*T291/3600),"")</f>
        <v/>
      </c>
      <c r="AU291" s="25" t="str">
        <f aca="false">IFERROR(X291/(AN291*T291),"")</f>
        <v/>
      </c>
      <c r="AV291" s="25" t="str">
        <f aca="false">IFERROR(AN291*T291/3600/X291*1000,"")</f>
        <v/>
      </c>
      <c r="AW291" s="26" t="str">
        <f aca="false">IFERROR(Cost_Model!$B$21*K291*T291/3600/X291*1000000,"")</f>
        <v/>
      </c>
      <c r="AX291" s="27" t="str">
        <f aca="false">IF(ISNUMBER(Z291),IF(Z291&lt;=Run_Config!$B$31,"PASS","FAIL"),"")</f>
        <v/>
      </c>
      <c r="AY291" s="27" t="str">
        <f aca="false">IF(ISNUMBER(AH291),IF(AH291&gt;=Run_Config!$B$33,"PASS","FAIL"),"")</f>
        <v/>
      </c>
    </row>
    <row r="292" customFormat="false" ht="15" hidden="false" customHeight="false" outlineLevel="0" collapsed="false">
      <c r="AR292" s="23" t="str">
        <f aca="false">IFERROR(V292/(U292+V292)*100,"")</f>
        <v/>
      </c>
      <c r="AS292" s="24" t="str">
        <f aca="false">IFERROR(AI292/K292,"")</f>
        <v/>
      </c>
      <c r="AT292" s="24" t="str">
        <f aca="false">IFERROR(IF(AN292="","",AN292*T292/3600),"")</f>
        <v/>
      </c>
      <c r="AU292" s="25" t="str">
        <f aca="false">IFERROR(X292/(AN292*T292),"")</f>
        <v/>
      </c>
      <c r="AV292" s="25" t="str">
        <f aca="false">IFERROR(AN292*T292/3600/X292*1000,"")</f>
        <v/>
      </c>
      <c r="AW292" s="26" t="str">
        <f aca="false">IFERROR(Cost_Model!$B$21*K292*T292/3600/X292*1000000,"")</f>
        <v/>
      </c>
      <c r="AX292" s="27" t="str">
        <f aca="false">IF(ISNUMBER(Z292),IF(Z292&lt;=Run_Config!$B$31,"PASS","FAIL"),"")</f>
        <v/>
      </c>
      <c r="AY292" s="27" t="str">
        <f aca="false">IF(ISNUMBER(AH292),IF(AH292&gt;=Run_Config!$B$33,"PASS","FAIL"),"")</f>
        <v/>
      </c>
    </row>
    <row r="293" customFormat="false" ht="15" hidden="false" customHeight="false" outlineLevel="0" collapsed="false">
      <c r="AR293" s="23" t="str">
        <f aca="false">IFERROR(V293/(U293+V293)*100,"")</f>
        <v/>
      </c>
      <c r="AS293" s="24" t="str">
        <f aca="false">IFERROR(AI293/K293,"")</f>
        <v/>
      </c>
      <c r="AT293" s="24" t="str">
        <f aca="false">IFERROR(IF(AN293="","",AN293*T293/3600),"")</f>
        <v/>
      </c>
      <c r="AU293" s="25" t="str">
        <f aca="false">IFERROR(X293/(AN293*T293),"")</f>
        <v/>
      </c>
      <c r="AV293" s="25" t="str">
        <f aca="false">IFERROR(AN293*T293/3600/X293*1000,"")</f>
        <v/>
      </c>
      <c r="AW293" s="26" t="str">
        <f aca="false">IFERROR(Cost_Model!$B$21*K293*T293/3600/X293*1000000,"")</f>
        <v/>
      </c>
      <c r="AX293" s="27" t="str">
        <f aca="false">IF(ISNUMBER(Z293),IF(Z293&lt;=Run_Config!$B$31,"PASS","FAIL"),"")</f>
        <v/>
      </c>
      <c r="AY293" s="27" t="str">
        <f aca="false">IF(ISNUMBER(AH293),IF(AH293&gt;=Run_Config!$B$33,"PASS","FAIL"),"")</f>
        <v/>
      </c>
    </row>
    <row r="294" customFormat="false" ht="15" hidden="false" customHeight="false" outlineLevel="0" collapsed="false">
      <c r="AR294" s="23" t="str">
        <f aca="false">IFERROR(V294/(U294+V294)*100,"")</f>
        <v/>
      </c>
      <c r="AS294" s="24" t="str">
        <f aca="false">IFERROR(AI294/K294,"")</f>
        <v/>
      </c>
      <c r="AT294" s="24" t="str">
        <f aca="false">IFERROR(IF(AN294="","",AN294*T294/3600),"")</f>
        <v/>
      </c>
      <c r="AU294" s="25" t="str">
        <f aca="false">IFERROR(X294/(AN294*T294),"")</f>
        <v/>
      </c>
      <c r="AV294" s="25" t="str">
        <f aca="false">IFERROR(AN294*T294/3600/X294*1000,"")</f>
        <v/>
      </c>
      <c r="AW294" s="26" t="str">
        <f aca="false">IFERROR(Cost_Model!$B$21*K294*T294/3600/X294*1000000,"")</f>
        <v/>
      </c>
      <c r="AX294" s="27" t="str">
        <f aca="false">IF(ISNUMBER(Z294),IF(Z294&lt;=Run_Config!$B$31,"PASS","FAIL"),"")</f>
        <v/>
      </c>
      <c r="AY294" s="27" t="str">
        <f aca="false">IF(ISNUMBER(AH294),IF(AH294&gt;=Run_Config!$B$33,"PASS","FAIL"),"")</f>
        <v/>
      </c>
    </row>
    <row r="295" customFormat="false" ht="15" hidden="false" customHeight="false" outlineLevel="0" collapsed="false">
      <c r="AR295" s="23" t="str">
        <f aca="false">IFERROR(V295/(U295+V295)*100,"")</f>
        <v/>
      </c>
      <c r="AS295" s="24" t="str">
        <f aca="false">IFERROR(AI295/K295,"")</f>
        <v/>
      </c>
      <c r="AT295" s="24" t="str">
        <f aca="false">IFERROR(IF(AN295="","",AN295*T295/3600),"")</f>
        <v/>
      </c>
      <c r="AU295" s="25" t="str">
        <f aca="false">IFERROR(X295/(AN295*T295),"")</f>
        <v/>
      </c>
      <c r="AV295" s="25" t="str">
        <f aca="false">IFERROR(AN295*T295/3600/X295*1000,"")</f>
        <v/>
      </c>
      <c r="AW295" s="26" t="str">
        <f aca="false">IFERROR(Cost_Model!$B$21*K295*T295/3600/X295*1000000,"")</f>
        <v/>
      </c>
      <c r="AX295" s="27" t="str">
        <f aca="false">IF(ISNUMBER(Z295),IF(Z295&lt;=Run_Config!$B$31,"PASS","FAIL"),"")</f>
        <v/>
      </c>
      <c r="AY295" s="27" t="str">
        <f aca="false">IF(ISNUMBER(AH295),IF(AH295&gt;=Run_Config!$B$33,"PASS","FAIL"),"")</f>
        <v/>
      </c>
    </row>
    <row r="296" customFormat="false" ht="15" hidden="false" customHeight="false" outlineLevel="0" collapsed="false">
      <c r="AR296" s="23" t="str">
        <f aca="false">IFERROR(V296/(U296+V296)*100,"")</f>
        <v/>
      </c>
      <c r="AS296" s="24" t="str">
        <f aca="false">IFERROR(AI296/K296,"")</f>
        <v/>
      </c>
      <c r="AT296" s="24" t="str">
        <f aca="false">IFERROR(IF(AN296="","",AN296*T296/3600),"")</f>
        <v/>
      </c>
      <c r="AU296" s="25" t="str">
        <f aca="false">IFERROR(X296/(AN296*T296),"")</f>
        <v/>
      </c>
      <c r="AV296" s="25" t="str">
        <f aca="false">IFERROR(AN296*T296/3600/X296*1000,"")</f>
        <v/>
      </c>
      <c r="AW296" s="26" t="str">
        <f aca="false">IFERROR(Cost_Model!$B$21*K296*T296/3600/X296*1000000,"")</f>
        <v/>
      </c>
      <c r="AX296" s="27" t="str">
        <f aca="false">IF(ISNUMBER(Z296),IF(Z296&lt;=Run_Config!$B$31,"PASS","FAIL"),"")</f>
        <v/>
      </c>
      <c r="AY296" s="27" t="str">
        <f aca="false">IF(ISNUMBER(AH296),IF(AH296&gt;=Run_Config!$B$33,"PASS","FAIL"),"")</f>
        <v/>
      </c>
    </row>
    <row r="297" customFormat="false" ht="15" hidden="false" customHeight="false" outlineLevel="0" collapsed="false">
      <c r="AR297" s="23" t="str">
        <f aca="false">IFERROR(V297/(U297+V297)*100,"")</f>
        <v/>
      </c>
      <c r="AS297" s="24" t="str">
        <f aca="false">IFERROR(AI297/K297,"")</f>
        <v/>
      </c>
      <c r="AT297" s="24" t="str">
        <f aca="false">IFERROR(IF(AN297="","",AN297*T297/3600),"")</f>
        <v/>
      </c>
      <c r="AU297" s="25" t="str">
        <f aca="false">IFERROR(X297/(AN297*T297),"")</f>
        <v/>
      </c>
      <c r="AV297" s="25" t="str">
        <f aca="false">IFERROR(AN297*T297/3600/X297*1000,"")</f>
        <v/>
      </c>
      <c r="AW297" s="26" t="str">
        <f aca="false">IFERROR(Cost_Model!$B$21*K297*T297/3600/X297*1000000,"")</f>
        <v/>
      </c>
      <c r="AX297" s="27" t="str">
        <f aca="false">IF(ISNUMBER(Z297),IF(Z297&lt;=Run_Config!$B$31,"PASS","FAIL"),"")</f>
        <v/>
      </c>
      <c r="AY297" s="27" t="str">
        <f aca="false">IF(ISNUMBER(AH297),IF(AH297&gt;=Run_Config!$B$33,"PASS","FAIL"),"")</f>
        <v/>
      </c>
    </row>
    <row r="298" customFormat="false" ht="15" hidden="false" customHeight="false" outlineLevel="0" collapsed="false">
      <c r="AR298" s="23" t="str">
        <f aca="false">IFERROR(V298/(U298+V298)*100,"")</f>
        <v/>
      </c>
      <c r="AS298" s="24" t="str">
        <f aca="false">IFERROR(AI298/K298,"")</f>
        <v/>
      </c>
      <c r="AT298" s="24" t="str">
        <f aca="false">IFERROR(IF(AN298="","",AN298*T298/3600),"")</f>
        <v/>
      </c>
      <c r="AU298" s="25" t="str">
        <f aca="false">IFERROR(X298/(AN298*T298),"")</f>
        <v/>
      </c>
      <c r="AV298" s="25" t="str">
        <f aca="false">IFERROR(AN298*T298/3600/X298*1000,"")</f>
        <v/>
      </c>
      <c r="AW298" s="26" t="str">
        <f aca="false">IFERROR(Cost_Model!$B$21*K298*T298/3600/X298*1000000,"")</f>
        <v/>
      </c>
      <c r="AX298" s="27" t="str">
        <f aca="false">IF(ISNUMBER(Z298),IF(Z298&lt;=Run_Config!$B$31,"PASS","FAIL"),"")</f>
        <v/>
      </c>
      <c r="AY298" s="27" t="str">
        <f aca="false">IF(ISNUMBER(AH298),IF(AH298&gt;=Run_Config!$B$33,"PASS","FAIL"),"")</f>
        <v/>
      </c>
    </row>
    <row r="299" customFormat="false" ht="15" hidden="false" customHeight="false" outlineLevel="0" collapsed="false">
      <c r="AR299" s="23" t="str">
        <f aca="false">IFERROR(V299/(U299+V299)*100,"")</f>
        <v/>
      </c>
      <c r="AS299" s="24" t="str">
        <f aca="false">IFERROR(AI299/K299,"")</f>
        <v/>
      </c>
      <c r="AT299" s="24" t="str">
        <f aca="false">IFERROR(IF(AN299="","",AN299*T299/3600),"")</f>
        <v/>
      </c>
      <c r="AU299" s="25" t="str">
        <f aca="false">IFERROR(X299/(AN299*T299),"")</f>
        <v/>
      </c>
      <c r="AV299" s="25" t="str">
        <f aca="false">IFERROR(AN299*T299/3600/X299*1000,"")</f>
        <v/>
      </c>
      <c r="AW299" s="26" t="str">
        <f aca="false">IFERROR(Cost_Model!$B$21*K299*T299/3600/X299*1000000,"")</f>
        <v/>
      </c>
      <c r="AX299" s="27" t="str">
        <f aca="false">IF(ISNUMBER(Z299),IF(Z299&lt;=Run_Config!$B$31,"PASS","FAIL"),"")</f>
        <v/>
      </c>
      <c r="AY299" s="27" t="str">
        <f aca="false">IF(ISNUMBER(AH299),IF(AH299&gt;=Run_Config!$B$33,"PASS","FAIL"),"")</f>
        <v/>
      </c>
    </row>
    <row r="300" customFormat="false" ht="15" hidden="false" customHeight="false" outlineLevel="0" collapsed="false">
      <c r="AR300" s="23" t="str">
        <f aca="false">IFERROR(V300/(U300+V300)*100,"")</f>
        <v/>
      </c>
      <c r="AS300" s="24" t="str">
        <f aca="false">IFERROR(AI300/K300,"")</f>
        <v/>
      </c>
      <c r="AT300" s="24" t="str">
        <f aca="false">IFERROR(IF(AN300="","",AN300*T300/3600),"")</f>
        <v/>
      </c>
      <c r="AU300" s="25" t="str">
        <f aca="false">IFERROR(X300/(AN300*T300),"")</f>
        <v/>
      </c>
      <c r="AV300" s="25" t="str">
        <f aca="false">IFERROR(AN300*T300/3600/X300*1000,"")</f>
        <v/>
      </c>
      <c r="AW300" s="26" t="str">
        <f aca="false">IFERROR(Cost_Model!$B$21*K300*T300/3600/X300*1000000,"")</f>
        <v/>
      </c>
      <c r="AX300" s="27" t="str">
        <f aca="false">IF(ISNUMBER(Z300),IF(Z300&lt;=Run_Config!$B$31,"PASS","FAIL"),"")</f>
        <v/>
      </c>
      <c r="AY300" s="27" t="str">
        <f aca="false">IF(ISNUMBER(AH300),IF(AH300&gt;=Run_Config!$B$33,"PASS","FAIL"),"")</f>
        <v/>
      </c>
    </row>
    <row r="301" customFormat="false" ht="15" hidden="false" customHeight="false" outlineLevel="0" collapsed="false">
      <c r="AR301" s="23" t="str">
        <f aca="false">IFERROR(V301/(U301+V301)*100,"")</f>
        <v/>
      </c>
      <c r="AS301" s="24" t="str">
        <f aca="false">IFERROR(AI301/K301,"")</f>
        <v/>
      </c>
      <c r="AT301" s="24" t="str">
        <f aca="false">IFERROR(IF(AN301="","",AN301*T301/3600),"")</f>
        <v/>
      </c>
      <c r="AU301" s="25" t="str">
        <f aca="false">IFERROR(X301/(AN301*T301),"")</f>
        <v/>
      </c>
      <c r="AV301" s="25" t="str">
        <f aca="false">IFERROR(AN301*T301/3600/X301*1000,"")</f>
        <v/>
      </c>
      <c r="AW301" s="26" t="str">
        <f aca="false">IFERROR(Cost_Model!$B$21*K301*T301/3600/X301*1000000,"")</f>
        <v/>
      </c>
      <c r="AX301" s="27" t="str">
        <f aca="false">IF(ISNUMBER(Z301),IF(Z301&lt;=Run_Config!$B$31,"PASS","FAIL"),"")</f>
        <v/>
      </c>
      <c r="AY301" s="27" t="str">
        <f aca="false">IF(ISNUMBER(AH301),IF(AH301&gt;=Run_Config!$B$33,"PASS","FAIL"),"")</f>
        <v/>
      </c>
    </row>
    <row r="302" customFormat="false" ht="15" hidden="false" customHeight="false" outlineLevel="0" collapsed="false">
      <c r="AR302" s="23" t="str">
        <f aca="false">IFERROR(V302/(U302+V302)*100,"")</f>
        <v/>
      </c>
      <c r="AS302" s="24" t="str">
        <f aca="false">IFERROR(AI302/K302,"")</f>
        <v/>
      </c>
      <c r="AT302" s="24" t="str">
        <f aca="false">IFERROR(IF(AN302="","",AN302*T302/3600),"")</f>
        <v/>
      </c>
      <c r="AU302" s="25" t="str">
        <f aca="false">IFERROR(X302/(AN302*T302),"")</f>
        <v/>
      </c>
      <c r="AV302" s="25" t="str">
        <f aca="false">IFERROR(AN302*T302/3600/X302*1000,"")</f>
        <v/>
      </c>
      <c r="AW302" s="26" t="str">
        <f aca="false">IFERROR(Cost_Model!$B$21*K302*T302/3600/X302*1000000,"")</f>
        <v/>
      </c>
      <c r="AX302" s="27" t="str">
        <f aca="false">IF(ISNUMBER(Z302),IF(Z302&lt;=Run_Config!$B$31,"PASS","FAIL"),"")</f>
        <v/>
      </c>
      <c r="AY302" s="27" t="str">
        <f aca="false">IF(ISNUMBER(AH302),IF(AH302&gt;=Run_Config!$B$33,"PASS","FAIL"),"")</f>
        <v/>
      </c>
    </row>
    <row r="303" customFormat="false" ht="15" hidden="false" customHeight="false" outlineLevel="0" collapsed="false">
      <c r="AR303" s="23" t="str">
        <f aca="false">IFERROR(V303/(U303+V303)*100,"")</f>
        <v/>
      </c>
      <c r="AS303" s="24" t="str">
        <f aca="false">IFERROR(AI303/K303,"")</f>
        <v/>
      </c>
      <c r="AT303" s="24" t="str">
        <f aca="false">IFERROR(IF(AN303="","",AN303*T303/3600),"")</f>
        <v/>
      </c>
      <c r="AU303" s="25" t="str">
        <f aca="false">IFERROR(X303/(AN303*T303),"")</f>
        <v/>
      </c>
      <c r="AV303" s="25" t="str">
        <f aca="false">IFERROR(AN303*T303/3600/X303*1000,"")</f>
        <v/>
      </c>
      <c r="AW303" s="26" t="str">
        <f aca="false">IFERROR(Cost_Model!$B$21*K303*T303/3600/X303*1000000,"")</f>
        <v/>
      </c>
      <c r="AX303" s="27" t="str">
        <f aca="false">IF(ISNUMBER(Z303),IF(Z303&lt;=Run_Config!$B$31,"PASS","FAIL"),"")</f>
        <v/>
      </c>
      <c r="AY303" s="27" t="str">
        <f aca="false">IF(ISNUMBER(AH303),IF(AH303&gt;=Run_Config!$B$33,"PASS","FAIL"),"")</f>
        <v/>
      </c>
    </row>
    <row r="304" customFormat="false" ht="15" hidden="false" customHeight="false" outlineLevel="0" collapsed="false">
      <c r="AR304" s="23" t="str">
        <f aca="false">IFERROR(V304/(U304+V304)*100,"")</f>
        <v/>
      </c>
      <c r="AS304" s="24" t="str">
        <f aca="false">IFERROR(AI304/K304,"")</f>
        <v/>
      </c>
      <c r="AT304" s="24" t="str">
        <f aca="false">IFERROR(IF(AN304="","",AN304*T304/3600),"")</f>
        <v/>
      </c>
      <c r="AU304" s="25" t="str">
        <f aca="false">IFERROR(X304/(AN304*T304),"")</f>
        <v/>
      </c>
      <c r="AV304" s="25" t="str">
        <f aca="false">IFERROR(AN304*T304/3600/X304*1000,"")</f>
        <v/>
      </c>
      <c r="AW304" s="26" t="str">
        <f aca="false">IFERROR(Cost_Model!$B$21*K304*T304/3600/X304*1000000,"")</f>
        <v/>
      </c>
      <c r="AX304" s="27" t="str">
        <f aca="false">IF(ISNUMBER(Z304),IF(Z304&lt;=Run_Config!$B$31,"PASS","FAIL"),"")</f>
        <v/>
      </c>
      <c r="AY304" s="27" t="str">
        <f aca="false">IF(ISNUMBER(AH304),IF(AH304&gt;=Run_Config!$B$33,"PASS","FAIL"),"")</f>
        <v/>
      </c>
    </row>
    <row r="305" customFormat="false" ht="15" hidden="false" customHeight="false" outlineLevel="0" collapsed="false">
      <c r="AR305" s="23" t="str">
        <f aca="false">IFERROR(V305/(U305+V305)*100,"")</f>
        <v/>
      </c>
      <c r="AS305" s="24" t="str">
        <f aca="false">IFERROR(AI305/K305,"")</f>
        <v/>
      </c>
      <c r="AT305" s="24" t="str">
        <f aca="false">IFERROR(IF(AN305="","",AN305*T305/3600),"")</f>
        <v/>
      </c>
      <c r="AU305" s="25" t="str">
        <f aca="false">IFERROR(X305/(AN305*T305),"")</f>
        <v/>
      </c>
      <c r="AV305" s="25" t="str">
        <f aca="false">IFERROR(AN305*T305/3600/X305*1000,"")</f>
        <v/>
      </c>
      <c r="AW305" s="26" t="str">
        <f aca="false">IFERROR(Cost_Model!$B$21*K305*T305/3600/X305*1000000,"")</f>
        <v/>
      </c>
      <c r="AX305" s="27" t="str">
        <f aca="false">IF(ISNUMBER(Z305),IF(Z305&lt;=Run_Config!$B$31,"PASS","FAIL"),"")</f>
        <v/>
      </c>
      <c r="AY305" s="27" t="str">
        <f aca="false">IF(ISNUMBER(AH305),IF(AH305&gt;=Run_Config!$B$33,"PASS","FAIL"),"")</f>
        <v/>
      </c>
    </row>
    <row r="306" customFormat="false" ht="15" hidden="false" customHeight="false" outlineLevel="0" collapsed="false">
      <c r="AR306" s="23" t="str">
        <f aca="false">IFERROR(V306/(U306+V306)*100,"")</f>
        <v/>
      </c>
      <c r="AS306" s="24" t="str">
        <f aca="false">IFERROR(AI306/K306,"")</f>
        <v/>
      </c>
      <c r="AT306" s="24" t="str">
        <f aca="false">IFERROR(IF(AN306="","",AN306*T306/3600),"")</f>
        <v/>
      </c>
      <c r="AU306" s="25" t="str">
        <f aca="false">IFERROR(X306/(AN306*T306),"")</f>
        <v/>
      </c>
      <c r="AV306" s="25" t="str">
        <f aca="false">IFERROR(AN306*T306/3600/X306*1000,"")</f>
        <v/>
      </c>
      <c r="AW306" s="26" t="str">
        <f aca="false">IFERROR(Cost_Model!$B$21*K306*T306/3600/X306*1000000,"")</f>
        <v/>
      </c>
      <c r="AX306" s="27" t="str">
        <f aca="false">IF(ISNUMBER(Z306),IF(Z306&lt;=Run_Config!$B$31,"PASS","FAIL"),"")</f>
        <v/>
      </c>
      <c r="AY306" s="27" t="str">
        <f aca="false">IF(ISNUMBER(AH306),IF(AH306&gt;=Run_Config!$B$33,"PASS","FAIL"),"")</f>
        <v/>
      </c>
    </row>
    <row r="307" customFormat="false" ht="15" hidden="false" customHeight="false" outlineLevel="0" collapsed="false">
      <c r="AR307" s="23" t="str">
        <f aca="false">IFERROR(V307/(U307+V307)*100,"")</f>
        <v/>
      </c>
      <c r="AS307" s="24" t="str">
        <f aca="false">IFERROR(AI307/K307,"")</f>
        <v/>
      </c>
      <c r="AT307" s="24" t="str">
        <f aca="false">IFERROR(IF(AN307="","",AN307*T307/3600),"")</f>
        <v/>
      </c>
      <c r="AU307" s="25" t="str">
        <f aca="false">IFERROR(X307/(AN307*T307),"")</f>
        <v/>
      </c>
      <c r="AV307" s="25" t="str">
        <f aca="false">IFERROR(AN307*T307/3600/X307*1000,"")</f>
        <v/>
      </c>
      <c r="AW307" s="26" t="str">
        <f aca="false">IFERROR(Cost_Model!$B$21*K307*T307/3600/X307*1000000,"")</f>
        <v/>
      </c>
      <c r="AX307" s="27" t="str">
        <f aca="false">IF(ISNUMBER(Z307),IF(Z307&lt;=Run_Config!$B$31,"PASS","FAIL"),"")</f>
        <v/>
      </c>
      <c r="AY307" s="27" t="str">
        <f aca="false">IF(ISNUMBER(AH307),IF(AH307&gt;=Run_Config!$B$33,"PASS","FAIL"),"")</f>
        <v/>
      </c>
    </row>
    <row r="308" customFormat="false" ht="15" hidden="false" customHeight="false" outlineLevel="0" collapsed="false">
      <c r="AR308" s="23" t="str">
        <f aca="false">IFERROR(V308/(U308+V308)*100,"")</f>
        <v/>
      </c>
      <c r="AS308" s="24" t="str">
        <f aca="false">IFERROR(AI308/K308,"")</f>
        <v/>
      </c>
      <c r="AT308" s="24" t="str">
        <f aca="false">IFERROR(IF(AN308="","",AN308*T308/3600),"")</f>
        <v/>
      </c>
      <c r="AU308" s="25" t="str">
        <f aca="false">IFERROR(X308/(AN308*T308),"")</f>
        <v/>
      </c>
      <c r="AV308" s="25" t="str">
        <f aca="false">IFERROR(AN308*T308/3600/X308*1000,"")</f>
        <v/>
      </c>
      <c r="AW308" s="26" t="str">
        <f aca="false">IFERROR(Cost_Model!$B$21*K308*T308/3600/X308*1000000,"")</f>
        <v/>
      </c>
      <c r="AX308" s="27" t="str">
        <f aca="false">IF(ISNUMBER(Z308),IF(Z308&lt;=Run_Config!$B$31,"PASS","FAIL"),"")</f>
        <v/>
      </c>
      <c r="AY308" s="27" t="str">
        <f aca="false">IF(ISNUMBER(AH308),IF(AH308&gt;=Run_Config!$B$33,"PASS","FAIL"),"")</f>
        <v/>
      </c>
    </row>
    <row r="309" customFormat="false" ht="15" hidden="false" customHeight="false" outlineLevel="0" collapsed="false">
      <c r="AR309" s="23" t="str">
        <f aca="false">IFERROR(V309/(U309+V309)*100,"")</f>
        <v/>
      </c>
      <c r="AS309" s="24" t="str">
        <f aca="false">IFERROR(AI309/K309,"")</f>
        <v/>
      </c>
      <c r="AT309" s="24" t="str">
        <f aca="false">IFERROR(IF(AN309="","",AN309*T309/3600),"")</f>
        <v/>
      </c>
      <c r="AU309" s="25" t="str">
        <f aca="false">IFERROR(X309/(AN309*T309),"")</f>
        <v/>
      </c>
      <c r="AV309" s="25" t="str">
        <f aca="false">IFERROR(AN309*T309/3600/X309*1000,"")</f>
        <v/>
      </c>
      <c r="AW309" s="26" t="str">
        <f aca="false">IFERROR(Cost_Model!$B$21*K309*T309/3600/X309*1000000,"")</f>
        <v/>
      </c>
      <c r="AX309" s="27" t="str">
        <f aca="false">IF(ISNUMBER(Z309),IF(Z309&lt;=Run_Config!$B$31,"PASS","FAIL"),"")</f>
        <v/>
      </c>
      <c r="AY309" s="27" t="str">
        <f aca="false">IF(ISNUMBER(AH309),IF(AH309&gt;=Run_Config!$B$33,"PASS","FAIL"),"")</f>
        <v/>
      </c>
    </row>
    <row r="310" customFormat="false" ht="15" hidden="false" customHeight="false" outlineLevel="0" collapsed="false">
      <c r="AR310" s="23" t="str">
        <f aca="false">IFERROR(V310/(U310+V310)*100,"")</f>
        <v/>
      </c>
      <c r="AS310" s="24" t="str">
        <f aca="false">IFERROR(AI310/K310,"")</f>
        <v/>
      </c>
      <c r="AT310" s="24" t="str">
        <f aca="false">IFERROR(IF(AN310="","",AN310*T310/3600),"")</f>
        <v/>
      </c>
      <c r="AU310" s="25" t="str">
        <f aca="false">IFERROR(X310/(AN310*T310),"")</f>
        <v/>
      </c>
      <c r="AV310" s="25" t="str">
        <f aca="false">IFERROR(AN310*T310/3600/X310*1000,"")</f>
        <v/>
      </c>
      <c r="AW310" s="26" t="str">
        <f aca="false">IFERROR(Cost_Model!$B$21*K310*T310/3600/X310*1000000,"")</f>
        <v/>
      </c>
      <c r="AX310" s="27" t="str">
        <f aca="false">IF(ISNUMBER(Z310),IF(Z310&lt;=Run_Config!$B$31,"PASS","FAIL"),"")</f>
        <v/>
      </c>
      <c r="AY310" s="27" t="str">
        <f aca="false">IF(ISNUMBER(AH310),IF(AH310&gt;=Run_Config!$B$33,"PASS","FAIL"),"")</f>
        <v/>
      </c>
    </row>
    <row r="311" customFormat="false" ht="15" hidden="false" customHeight="false" outlineLevel="0" collapsed="false">
      <c r="AR311" s="23" t="str">
        <f aca="false">IFERROR(V311/(U311+V311)*100,"")</f>
        <v/>
      </c>
      <c r="AS311" s="24" t="str">
        <f aca="false">IFERROR(AI311/K311,"")</f>
        <v/>
      </c>
      <c r="AT311" s="24" t="str">
        <f aca="false">IFERROR(IF(AN311="","",AN311*T311/3600),"")</f>
        <v/>
      </c>
      <c r="AU311" s="25" t="str">
        <f aca="false">IFERROR(X311/(AN311*T311),"")</f>
        <v/>
      </c>
      <c r="AV311" s="25" t="str">
        <f aca="false">IFERROR(AN311*T311/3600/X311*1000,"")</f>
        <v/>
      </c>
      <c r="AW311" s="26" t="str">
        <f aca="false">IFERROR(Cost_Model!$B$21*K311*T311/3600/X311*1000000,"")</f>
        <v/>
      </c>
      <c r="AX311" s="27" t="str">
        <f aca="false">IF(ISNUMBER(Z311),IF(Z311&lt;=Run_Config!$B$31,"PASS","FAIL"),"")</f>
        <v/>
      </c>
      <c r="AY311" s="27" t="str">
        <f aca="false">IF(ISNUMBER(AH311),IF(AH311&gt;=Run_Config!$B$33,"PASS","FAIL"),"")</f>
        <v/>
      </c>
    </row>
    <row r="312" customFormat="false" ht="15" hidden="false" customHeight="false" outlineLevel="0" collapsed="false">
      <c r="AR312" s="23" t="str">
        <f aca="false">IFERROR(V312/(U312+V312)*100,"")</f>
        <v/>
      </c>
      <c r="AS312" s="24" t="str">
        <f aca="false">IFERROR(AI312/K312,"")</f>
        <v/>
      </c>
      <c r="AT312" s="24" t="str">
        <f aca="false">IFERROR(IF(AN312="","",AN312*T312/3600),"")</f>
        <v/>
      </c>
      <c r="AU312" s="25" t="str">
        <f aca="false">IFERROR(X312/(AN312*T312),"")</f>
        <v/>
      </c>
      <c r="AV312" s="25" t="str">
        <f aca="false">IFERROR(AN312*T312/3600/X312*1000,"")</f>
        <v/>
      </c>
      <c r="AW312" s="26" t="str">
        <f aca="false">IFERROR(Cost_Model!$B$21*K312*T312/3600/X312*1000000,"")</f>
        <v/>
      </c>
      <c r="AX312" s="27" t="str">
        <f aca="false">IF(ISNUMBER(Z312),IF(Z312&lt;=Run_Config!$B$31,"PASS","FAIL"),"")</f>
        <v/>
      </c>
      <c r="AY312" s="27" t="str">
        <f aca="false">IF(ISNUMBER(AH312),IF(AH312&gt;=Run_Config!$B$33,"PASS","FAIL"),"")</f>
        <v/>
      </c>
    </row>
    <row r="313" customFormat="false" ht="15" hidden="false" customHeight="false" outlineLevel="0" collapsed="false">
      <c r="AR313" s="23" t="str">
        <f aca="false">IFERROR(V313/(U313+V313)*100,"")</f>
        <v/>
      </c>
      <c r="AS313" s="24" t="str">
        <f aca="false">IFERROR(AI313/K313,"")</f>
        <v/>
      </c>
      <c r="AT313" s="24" t="str">
        <f aca="false">IFERROR(IF(AN313="","",AN313*T313/3600),"")</f>
        <v/>
      </c>
      <c r="AU313" s="25" t="str">
        <f aca="false">IFERROR(X313/(AN313*T313),"")</f>
        <v/>
      </c>
      <c r="AV313" s="25" t="str">
        <f aca="false">IFERROR(AN313*T313/3600/X313*1000,"")</f>
        <v/>
      </c>
      <c r="AW313" s="26" t="str">
        <f aca="false">IFERROR(Cost_Model!$B$21*K313*T313/3600/X313*1000000,"")</f>
        <v/>
      </c>
      <c r="AX313" s="27" t="str">
        <f aca="false">IF(ISNUMBER(Z313),IF(Z313&lt;=Run_Config!$B$31,"PASS","FAIL"),"")</f>
        <v/>
      </c>
      <c r="AY313" s="27" t="str">
        <f aca="false">IF(ISNUMBER(AH313),IF(AH313&gt;=Run_Config!$B$33,"PASS","FAIL"),"")</f>
        <v/>
      </c>
    </row>
    <row r="314" customFormat="false" ht="15" hidden="false" customHeight="false" outlineLevel="0" collapsed="false">
      <c r="AR314" s="23" t="str">
        <f aca="false">IFERROR(V314/(U314+V314)*100,"")</f>
        <v/>
      </c>
      <c r="AS314" s="24" t="str">
        <f aca="false">IFERROR(AI314/K314,"")</f>
        <v/>
      </c>
      <c r="AT314" s="24" t="str">
        <f aca="false">IFERROR(IF(AN314="","",AN314*T314/3600),"")</f>
        <v/>
      </c>
      <c r="AU314" s="25" t="str">
        <f aca="false">IFERROR(X314/(AN314*T314),"")</f>
        <v/>
      </c>
      <c r="AV314" s="25" t="str">
        <f aca="false">IFERROR(AN314*T314/3600/X314*1000,"")</f>
        <v/>
      </c>
      <c r="AW314" s="26" t="str">
        <f aca="false">IFERROR(Cost_Model!$B$21*K314*T314/3600/X314*1000000,"")</f>
        <v/>
      </c>
      <c r="AX314" s="27" t="str">
        <f aca="false">IF(ISNUMBER(Z314),IF(Z314&lt;=Run_Config!$B$31,"PASS","FAIL"),"")</f>
        <v/>
      </c>
      <c r="AY314" s="27" t="str">
        <f aca="false">IF(ISNUMBER(AH314),IF(AH314&gt;=Run_Config!$B$33,"PASS","FAIL"),"")</f>
        <v/>
      </c>
    </row>
    <row r="315" customFormat="false" ht="15" hidden="false" customHeight="false" outlineLevel="0" collapsed="false">
      <c r="AR315" s="23" t="str">
        <f aca="false">IFERROR(V315/(U315+V315)*100,"")</f>
        <v/>
      </c>
      <c r="AS315" s="24" t="str">
        <f aca="false">IFERROR(AI315/K315,"")</f>
        <v/>
      </c>
      <c r="AT315" s="24" t="str">
        <f aca="false">IFERROR(IF(AN315="","",AN315*T315/3600),"")</f>
        <v/>
      </c>
      <c r="AU315" s="25" t="str">
        <f aca="false">IFERROR(X315/(AN315*T315),"")</f>
        <v/>
      </c>
      <c r="AV315" s="25" t="str">
        <f aca="false">IFERROR(AN315*T315/3600/X315*1000,"")</f>
        <v/>
      </c>
      <c r="AW315" s="26" t="str">
        <f aca="false">IFERROR(Cost_Model!$B$21*K315*T315/3600/X315*1000000,"")</f>
        <v/>
      </c>
      <c r="AX315" s="27" t="str">
        <f aca="false">IF(ISNUMBER(Z315),IF(Z315&lt;=Run_Config!$B$31,"PASS","FAIL"),"")</f>
        <v/>
      </c>
      <c r="AY315" s="27" t="str">
        <f aca="false">IF(ISNUMBER(AH315),IF(AH315&gt;=Run_Config!$B$33,"PASS","FAIL"),"")</f>
        <v/>
      </c>
    </row>
    <row r="316" customFormat="false" ht="15" hidden="false" customHeight="false" outlineLevel="0" collapsed="false">
      <c r="AR316" s="23" t="str">
        <f aca="false">IFERROR(V316/(U316+V316)*100,"")</f>
        <v/>
      </c>
      <c r="AS316" s="24" t="str">
        <f aca="false">IFERROR(AI316/K316,"")</f>
        <v/>
      </c>
      <c r="AT316" s="24" t="str">
        <f aca="false">IFERROR(IF(AN316="","",AN316*T316/3600),"")</f>
        <v/>
      </c>
      <c r="AU316" s="25" t="str">
        <f aca="false">IFERROR(X316/(AN316*T316),"")</f>
        <v/>
      </c>
      <c r="AV316" s="25" t="str">
        <f aca="false">IFERROR(AN316*T316/3600/X316*1000,"")</f>
        <v/>
      </c>
      <c r="AW316" s="26" t="str">
        <f aca="false">IFERROR(Cost_Model!$B$21*K316*T316/3600/X316*1000000,"")</f>
        <v/>
      </c>
      <c r="AX316" s="27" t="str">
        <f aca="false">IF(ISNUMBER(Z316),IF(Z316&lt;=Run_Config!$B$31,"PASS","FAIL"),"")</f>
        <v/>
      </c>
      <c r="AY316" s="27" t="str">
        <f aca="false">IF(ISNUMBER(AH316),IF(AH316&gt;=Run_Config!$B$33,"PASS","FAIL"),"")</f>
        <v/>
      </c>
    </row>
    <row r="317" customFormat="false" ht="15" hidden="false" customHeight="false" outlineLevel="0" collapsed="false">
      <c r="AR317" s="23" t="str">
        <f aca="false">IFERROR(V317/(U317+V317)*100,"")</f>
        <v/>
      </c>
      <c r="AS317" s="24" t="str">
        <f aca="false">IFERROR(AI317/K317,"")</f>
        <v/>
      </c>
      <c r="AT317" s="24" t="str">
        <f aca="false">IFERROR(IF(AN317="","",AN317*T317/3600),"")</f>
        <v/>
      </c>
      <c r="AU317" s="25" t="str">
        <f aca="false">IFERROR(X317/(AN317*T317),"")</f>
        <v/>
      </c>
      <c r="AV317" s="25" t="str">
        <f aca="false">IFERROR(AN317*T317/3600/X317*1000,"")</f>
        <v/>
      </c>
      <c r="AW317" s="26" t="str">
        <f aca="false">IFERROR(Cost_Model!$B$21*K317*T317/3600/X317*1000000,"")</f>
        <v/>
      </c>
      <c r="AX317" s="27" t="str">
        <f aca="false">IF(ISNUMBER(Z317),IF(Z317&lt;=Run_Config!$B$31,"PASS","FAIL"),"")</f>
        <v/>
      </c>
      <c r="AY317" s="27" t="str">
        <f aca="false">IF(ISNUMBER(AH317),IF(AH317&gt;=Run_Config!$B$33,"PASS","FAIL"),"")</f>
        <v/>
      </c>
    </row>
    <row r="318" customFormat="false" ht="15" hidden="false" customHeight="false" outlineLevel="0" collapsed="false">
      <c r="AR318" s="23" t="str">
        <f aca="false">IFERROR(V318/(U318+V318)*100,"")</f>
        <v/>
      </c>
      <c r="AS318" s="24" t="str">
        <f aca="false">IFERROR(AI318/K318,"")</f>
        <v/>
      </c>
      <c r="AT318" s="24" t="str">
        <f aca="false">IFERROR(IF(AN318="","",AN318*T318/3600),"")</f>
        <v/>
      </c>
      <c r="AU318" s="25" t="str">
        <f aca="false">IFERROR(X318/(AN318*T318),"")</f>
        <v/>
      </c>
      <c r="AV318" s="25" t="str">
        <f aca="false">IFERROR(AN318*T318/3600/X318*1000,"")</f>
        <v/>
      </c>
      <c r="AW318" s="26" t="str">
        <f aca="false">IFERROR(Cost_Model!$B$21*K318*T318/3600/X318*1000000,"")</f>
        <v/>
      </c>
      <c r="AX318" s="27" t="str">
        <f aca="false">IF(ISNUMBER(Z318),IF(Z318&lt;=Run_Config!$B$31,"PASS","FAIL"),"")</f>
        <v/>
      </c>
      <c r="AY318" s="27" t="str">
        <f aca="false">IF(ISNUMBER(AH318),IF(AH318&gt;=Run_Config!$B$33,"PASS","FAIL"),"")</f>
        <v/>
      </c>
    </row>
    <row r="319" customFormat="false" ht="15" hidden="false" customHeight="false" outlineLevel="0" collapsed="false">
      <c r="AR319" s="23" t="str">
        <f aca="false">IFERROR(V319/(U319+V319)*100,"")</f>
        <v/>
      </c>
      <c r="AS319" s="24" t="str">
        <f aca="false">IFERROR(AI319/K319,"")</f>
        <v/>
      </c>
      <c r="AT319" s="24" t="str">
        <f aca="false">IFERROR(IF(AN319="","",AN319*T319/3600),"")</f>
        <v/>
      </c>
      <c r="AU319" s="25" t="str">
        <f aca="false">IFERROR(X319/(AN319*T319),"")</f>
        <v/>
      </c>
      <c r="AV319" s="25" t="str">
        <f aca="false">IFERROR(AN319*T319/3600/X319*1000,"")</f>
        <v/>
      </c>
      <c r="AW319" s="26" t="str">
        <f aca="false">IFERROR(Cost_Model!$B$21*K319*T319/3600/X319*1000000,"")</f>
        <v/>
      </c>
      <c r="AX319" s="27" t="str">
        <f aca="false">IF(ISNUMBER(Z319),IF(Z319&lt;=Run_Config!$B$31,"PASS","FAIL"),"")</f>
        <v/>
      </c>
      <c r="AY319" s="27" t="str">
        <f aca="false">IF(ISNUMBER(AH319),IF(AH319&gt;=Run_Config!$B$33,"PASS","FAIL"),"")</f>
        <v/>
      </c>
    </row>
    <row r="320" customFormat="false" ht="15" hidden="false" customHeight="false" outlineLevel="0" collapsed="false">
      <c r="AR320" s="23" t="str">
        <f aca="false">IFERROR(V320/(U320+V320)*100,"")</f>
        <v/>
      </c>
      <c r="AS320" s="24" t="str">
        <f aca="false">IFERROR(AI320/K320,"")</f>
        <v/>
      </c>
      <c r="AT320" s="24" t="str">
        <f aca="false">IFERROR(IF(AN320="","",AN320*T320/3600),"")</f>
        <v/>
      </c>
      <c r="AU320" s="25" t="str">
        <f aca="false">IFERROR(X320/(AN320*T320),"")</f>
        <v/>
      </c>
      <c r="AV320" s="25" t="str">
        <f aca="false">IFERROR(AN320*T320/3600/X320*1000,"")</f>
        <v/>
      </c>
      <c r="AW320" s="26" t="str">
        <f aca="false">IFERROR(Cost_Model!$B$21*K320*T320/3600/X320*1000000,"")</f>
        <v/>
      </c>
      <c r="AX320" s="27" t="str">
        <f aca="false">IF(ISNUMBER(Z320),IF(Z320&lt;=Run_Config!$B$31,"PASS","FAIL"),"")</f>
        <v/>
      </c>
      <c r="AY320" s="27" t="str">
        <f aca="false">IF(ISNUMBER(AH320),IF(AH320&gt;=Run_Config!$B$33,"PASS","FAIL"),"")</f>
        <v/>
      </c>
    </row>
    <row r="321" customFormat="false" ht="15" hidden="false" customHeight="false" outlineLevel="0" collapsed="false">
      <c r="AR321" s="23" t="str">
        <f aca="false">IFERROR(V321/(U321+V321)*100,"")</f>
        <v/>
      </c>
      <c r="AS321" s="24" t="str">
        <f aca="false">IFERROR(AI321/K321,"")</f>
        <v/>
      </c>
      <c r="AT321" s="24" t="str">
        <f aca="false">IFERROR(IF(AN321="","",AN321*T321/3600),"")</f>
        <v/>
      </c>
      <c r="AU321" s="25" t="str">
        <f aca="false">IFERROR(X321/(AN321*T321),"")</f>
        <v/>
      </c>
      <c r="AV321" s="25" t="str">
        <f aca="false">IFERROR(AN321*T321/3600/X321*1000,"")</f>
        <v/>
      </c>
      <c r="AW321" s="26" t="str">
        <f aca="false">IFERROR(Cost_Model!$B$21*K321*T321/3600/X321*1000000,"")</f>
        <v/>
      </c>
      <c r="AX321" s="27" t="str">
        <f aca="false">IF(ISNUMBER(Z321),IF(Z321&lt;=Run_Config!$B$31,"PASS","FAIL"),"")</f>
        <v/>
      </c>
      <c r="AY321" s="27" t="str">
        <f aca="false">IF(ISNUMBER(AH321),IF(AH321&gt;=Run_Config!$B$33,"PASS","FAIL"),"")</f>
        <v/>
      </c>
    </row>
    <row r="322" customFormat="false" ht="15" hidden="false" customHeight="false" outlineLevel="0" collapsed="false">
      <c r="AR322" s="23" t="str">
        <f aca="false">IFERROR(V322/(U322+V322)*100,"")</f>
        <v/>
      </c>
      <c r="AS322" s="24" t="str">
        <f aca="false">IFERROR(AI322/K322,"")</f>
        <v/>
      </c>
      <c r="AT322" s="24" t="str">
        <f aca="false">IFERROR(IF(AN322="","",AN322*T322/3600),"")</f>
        <v/>
      </c>
      <c r="AU322" s="25" t="str">
        <f aca="false">IFERROR(X322/(AN322*T322),"")</f>
        <v/>
      </c>
      <c r="AV322" s="25" t="str">
        <f aca="false">IFERROR(AN322*T322/3600/X322*1000,"")</f>
        <v/>
      </c>
      <c r="AW322" s="26" t="str">
        <f aca="false">IFERROR(Cost_Model!$B$21*K322*T322/3600/X322*1000000,"")</f>
        <v/>
      </c>
      <c r="AX322" s="27" t="str">
        <f aca="false">IF(ISNUMBER(Z322),IF(Z322&lt;=Run_Config!$B$31,"PASS","FAIL"),"")</f>
        <v/>
      </c>
      <c r="AY322" s="27" t="str">
        <f aca="false">IF(ISNUMBER(AH322),IF(AH322&gt;=Run_Config!$B$33,"PASS","FAIL"),"")</f>
        <v/>
      </c>
    </row>
    <row r="323" customFormat="false" ht="15" hidden="false" customHeight="false" outlineLevel="0" collapsed="false">
      <c r="AR323" s="23" t="str">
        <f aca="false">IFERROR(V323/(U323+V323)*100,"")</f>
        <v/>
      </c>
      <c r="AS323" s="24" t="str">
        <f aca="false">IFERROR(AI323/K323,"")</f>
        <v/>
      </c>
      <c r="AT323" s="24" t="str">
        <f aca="false">IFERROR(IF(AN323="","",AN323*T323/3600),"")</f>
        <v/>
      </c>
      <c r="AU323" s="25" t="str">
        <f aca="false">IFERROR(X323/(AN323*T323),"")</f>
        <v/>
      </c>
      <c r="AV323" s="25" t="str">
        <f aca="false">IFERROR(AN323*T323/3600/X323*1000,"")</f>
        <v/>
      </c>
      <c r="AW323" s="26" t="str">
        <f aca="false">IFERROR(Cost_Model!$B$21*K323*T323/3600/X323*1000000,"")</f>
        <v/>
      </c>
      <c r="AX323" s="27" t="str">
        <f aca="false">IF(ISNUMBER(Z323),IF(Z323&lt;=Run_Config!$B$31,"PASS","FAIL"),"")</f>
        <v/>
      </c>
      <c r="AY323" s="27" t="str">
        <f aca="false">IF(ISNUMBER(AH323),IF(AH323&gt;=Run_Config!$B$33,"PASS","FAIL"),"")</f>
        <v/>
      </c>
    </row>
    <row r="324" customFormat="false" ht="15" hidden="false" customHeight="false" outlineLevel="0" collapsed="false">
      <c r="AR324" s="23" t="str">
        <f aca="false">IFERROR(V324/(U324+V324)*100,"")</f>
        <v/>
      </c>
      <c r="AS324" s="24" t="str">
        <f aca="false">IFERROR(AI324/K324,"")</f>
        <v/>
      </c>
      <c r="AT324" s="24" t="str">
        <f aca="false">IFERROR(IF(AN324="","",AN324*T324/3600),"")</f>
        <v/>
      </c>
      <c r="AU324" s="25" t="str">
        <f aca="false">IFERROR(X324/(AN324*T324),"")</f>
        <v/>
      </c>
      <c r="AV324" s="25" t="str">
        <f aca="false">IFERROR(AN324*T324/3600/X324*1000,"")</f>
        <v/>
      </c>
      <c r="AW324" s="26" t="str">
        <f aca="false">IFERROR(Cost_Model!$B$21*K324*T324/3600/X324*1000000,"")</f>
        <v/>
      </c>
      <c r="AX324" s="27" t="str">
        <f aca="false">IF(ISNUMBER(Z324),IF(Z324&lt;=Run_Config!$B$31,"PASS","FAIL"),"")</f>
        <v/>
      </c>
      <c r="AY324" s="27" t="str">
        <f aca="false">IF(ISNUMBER(AH324),IF(AH324&gt;=Run_Config!$B$33,"PASS","FAIL"),"")</f>
        <v/>
      </c>
    </row>
    <row r="325" customFormat="false" ht="15" hidden="false" customHeight="false" outlineLevel="0" collapsed="false">
      <c r="AR325" s="23" t="str">
        <f aca="false">IFERROR(V325/(U325+V325)*100,"")</f>
        <v/>
      </c>
      <c r="AS325" s="24" t="str">
        <f aca="false">IFERROR(AI325/K325,"")</f>
        <v/>
      </c>
      <c r="AT325" s="24" t="str">
        <f aca="false">IFERROR(IF(AN325="","",AN325*T325/3600),"")</f>
        <v/>
      </c>
      <c r="AU325" s="25" t="str">
        <f aca="false">IFERROR(X325/(AN325*T325),"")</f>
        <v/>
      </c>
      <c r="AV325" s="25" t="str">
        <f aca="false">IFERROR(AN325*T325/3600/X325*1000,"")</f>
        <v/>
      </c>
      <c r="AW325" s="26" t="str">
        <f aca="false">IFERROR(Cost_Model!$B$21*K325*T325/3600/X325*1000000,"")</f>
        <v/>
      </c>
      <c r="AX325" s="27" t="str">
        <f aca="false">IF(ISNUMBER(Z325),IF(Z325&lt;=Run_Config!$B$31,"PASS","FAIL"),"")</f>
        <v/>
      </c>
      <c r="AY325" s="27" t="str">
        <f aca="false">IF(ISNUMBER(AH325),IF(AH325&gt;=Run_Config!$B$33,"PASS","FAIL"),"")</f>
        <v/>
      </c>
    </row>
    <row r="326" customFormat="false" ht="15" hidden="false" customHeight="false" outlineLevel="0" collapsed="false">
      <c r="AR326" s="23" t="str">
        <f aca="false">IFERROR(V326/(U326+V326)*100,"")</f>
        <v/>
      </c>
      <c r="AS326" s="24" t="str">
        <f aca="false">IFERROR(AI326/K326,"")</f>
        <v/>
      </c>
      <c r="AT326" s="24" t="str">
        <f aca="false">IFERROR(IF(AN326="","",AN326*T326/3600),"")</f>
        <v/>
      </c>
      <c r="AU326" s="25" t="str">
        <f aca="false">IFERROR(X326/(AN326*T326),"")</f>
        <v/>
      </c>
      <c r="AV326" s="25" t="str">
        <f aca="false">IFERROR(AN326*T326/3600/X326*1000,"")</f>
        <v/>
      </c>
      <c r="AW326" s="26" t="str">
        <f aca="false">IFERROR(Cost_Model!$B$21*K326*T326/3600/X326*1000000,"")</f>
        <v/>
      </c>
      <c r="AX326" s="27" t="str">
        <f aca="false">IF(ISNUMBER(Z326),IF(Z326&lt;=Run_Config!$B$31,"PASS","FAIL"),"")</f>
        <v/>
      </c>
      <c r="AY326" s="27" t="str">
        <f aca="false">IF(ISNUMBER(AH326),IF(AH326&gt;=Run_Config!$B$33,"PASS","FAIL"),"")</f>
        <v/>
      </c>
    </row>
    <row r="327" customFormat="false" ht="15" hidden="false" customHeight="false" outlineLevel="0" collapsed="false">
      <c r="AR327" s="23" t="str">
        <f aca="false">IFERROR(V327/(U327+V327)*100,"")</f>
        <v/>
      </c>
      <c r="AS327" s="24" t="str">
        <f aca="false">IFERROR(AI327/K327,"")</f>
        <v/>
      </c>
      <c r="AT327" s="24" t="str">
        <f aca="false">IFERROR(IF(AN327="","",AN327*T327/3600),"")</f>
        <v/>
      </c>
      <c r="AU327" s="25" t="str">
        <f aca="false">IFERROR(X327/(AN327*T327),"")</f>
        <v/>
      </c>
      <c r="AV327" s="25" t="str">
        <f aca="false">IFERROR(AN327*T327/3600/X327*1000,"")</f>
        <v/>
      </c>
      <c r="AW327" s="26" t="str">
        <f aca="false">IFERROR(Cost_Model!$B$21*K327*T327/3600/X327*1000000,"")</f>
        <v/>
      </c>
      <c r="AX327" s="27" t="str">
        <f aca="false">IF(ISNUMBER(Z327),IF(Z327&lt;=Run_Config!$B$31,"PASS","FAIL"),"")</f>
        <v/>
      </c>
      <c r="AY327" s="27" t="str">
        <f aca="false">IF(ISNUMBER(AH327),IF(AH327&gt;=Run_Config!$B$33,"PASS","FAIL"),"")</f>
        <v/>
      </c>
    </row>
    <row r="328" customFormat="false" ht="15" hidden="false" customHeight="false" outlineLevel="0" collapsed="false">
      <c r="AR328" s="23" t="str">
        <f aca="false">IFERROR(V328/(U328+V328)*100,"")</f>
        <v/>
      </c>
      <c r="AS328" s="24" t="str">
        <f aca="false">IFERROR(AI328/K328,"")</f>
        <v/>
      </c>
      <c r="AT328" s="24" t="str">
        <f aca="false">IFERROR(IF(AN328="","",AN328*T328/3600),"")</f>
        <v/>
      </c>
      <c r="AU328" s="25" t="str">
        <f aca="false">IFERROR(X328/(AN328*T328),"")</f>
        <v/>
      </c>
      <c r="AV328" s="25" t="str">
        <f aca="false">IFERROR(AN328*T328/3600/X328*1000,"")</f>
        <v/>
      </c>
      <c r="AW328" s="26" t="str">
        <f aca="false">IFERROR(Cost_Model!$B$21*K328*T328/3600/X328*1000000,"")</f>
        <v/>
      </c>
      <c r="AX328" s="27" t="str">
        <f aca="false">IF(ISNUMBER(Z328),IF(Z328&lt;=Run_Config!$B$31,"PASS","FAIL"),"")</f>
        <v/>
      </c>
      <c r="AY328" s="27" t="str">
        <f aca="false">IF(ISNUMBER(AH328),IF(AH328&gt;=Run_Config!$B$33,"PASS","FAIL"),"")</f>
        <v/>
      </c>
    </row>
    <row r="329" customFormat="false" ht="15" hidden="false" customHeight="false" outlineLevel="0" collapsed="false">
      <c r="AR329" s="23" t="str">
        <f aca="false">IFERROR(V329/(U329+V329)*100,"")</f>
        <v/>
      </c>
      <c r="AS329" s="24" t="str">
        <f aca="false">IFERROR(AI329/K329,"")</f>
        <v/>
      </c>
      <c r="AT329" s="24" t="str">
        <f aca="false">IFERROR(IF(AN329="","",AN329*T329/3600),"")</f>
        <v/>
      </c>
      <c r="AU329" s="25" t="str">
        <f aca="false">IFERROR(X329/(AN329*T329),"")</f>
        <v/>
      </c>
      <c r="AV329" s="25" t="str">
        <f aca="false">IFERROR(AN329*T329/3600/X329*1000,"")</f>
        <v/>
      </c>
      <c r="AW329" s="26" t="str">
        <f aca="false">IFERROR(Cost_Model!$B$21*K329*T329/3600/X329*1000000,"")</f>
        <v/>
      </c>
      <c r="AX329" s="27" t="str">
        <f aca="false">IF(ISNUMBER(Z329),IF(Z329&lt;=Run_Config!$B$31,"PASS","FAIL"),"")</f>
        <v/>
      </c>
      <c r="AY329" s="27" t="str">
        <f aca="false">IF(ISNUMBER(AH329),IF(AH329&gt;=Run_Config!$B$33,"PASS","FAIL"),"")</f>
        <v/>
      </c>
    </row>
    <row r="330" customFormat="false" ht="15" hidden="false" customHeight="false" outlineLevel="0" collapsed="false">
      <c r="AR330" s="23" t="str">
        <f aca="false">IFERROR(V330/(U330+V330)*100,"")</f>
        <v/>
      </c>
      <c r="AS330" s="24" t="str">
        <f aca="false">IFERROR(AI330/K330,"")</f>
        <v/>
      </c>
      <c r="AT330" s="24" t="str">
        <f aca="false">IFERROR(IF(AN330="","",AN330*T330/3600),"")</f>
        <v/>
      </c>
      <c r="AU330" s="25" t="str">
        <f aca="false">IFERROR(X330/(AN330*T330),"")</f>
        <v/>
      </c>
      <c r="AV330" s="25" t="str">
        <f aca="false">IFERROR(AN330*T330/3600/X330*1000,"")</f>
        <v/>
      </c>
      <c r="AW330" s="26" t="str">
        <f aca="false">IFERROR(Cost_Model!$B$21*K330*T330/3600/X330*1000000,"")</f>
        <v/>
      </c>
      <c r="AX330" s="27" t="str">
        <f aca="false">IF(ISNUMBER(Z330),IF(Z330&lt;=Run_Config!$B$31,"PASS","FAIL"),"")</f>
        <v/>
      </c>
      <c r="AY330" s="27" t="str">
        <f aca="false">IF(ISNUMBER(AH330),IF(AH330&gt;=Run_Config!$B$33,"PASS","FAIL"),"")</f>
        <v/>
      </c>
    </row>
    <row r="331" customFormat="false" ht="15" hidden="false" customHeight="false" outlineLevel="0" collapsed="false">
      <c r="AR331" s="23" t="str">
        <f aca="false">IFERROR(V331/(U331+V331)*100,"")</f>
        <v/>
      </c>
      <c r="AS331" s="24" t="str">
        <f aca="false">IFERROR(AI331/K331,"")</f>
        <v/>
      </c>
      <c r="AT331" s="24" t="str">
        <f aca="false">IFERROR(IF(AN331="","",AN331*T331/3600),"")</f>
        <v/>
      </c>
      <c r="AU331" s="25" t="str">
        <f aca="false">IFERROR(X331/(AN331*T331),"")</f>
        <v/>
      </c>
      <c r="AV331" s="25" t="str">
        <f aca="false">IFERROR(AN331*T331/3600/X331*1000,"")</f>
        <v/>
      </c>
      <c r="AW331" s="26" t="str">
        <f aca="false">IFERROR(Cost_Model!$B$21*K331*T331/3600/X331*1000000,"")</f>
        <v/>
      </c>
      <c r="AX331" s="27" t="str">
        <f aca="false">IF(ISNUMBER(Z331),IF(Z331&lt;=Run_Config!$B$31,"PASS","FAIL"),"")</f>
        <v/>
      </c>
      <c r="AY331" s="27" t="str">
        <f aca="false">IF(ISNUMBER(AH331),IF(AH331&gt;=Run_Config!$B$33,"PASS","FAIL"),"")</f>
        <v/>
      </c>
    </row>
    <row r="332" customFormat="false" ht="15" hidden="false" customHeight="false" outlineLevel="0" collapsed="false">
      <c r="AR332" s="23" t="str">
        <f aca="false">IFERROR(V332/(U332+V332)*100,"")</f>
        <v/>
      </c>
      <c r="AS332" s="24" t="str">
        <f aca="false">IFERROR(AI332/K332,"")</f>
        <v/>
      </c>
      <c r="AT332" s="24" t="str">
        <f aca="false">IFERROR(IF(AN332="","",AN332*T332/3600),"")</f>
        <v/>
      </c>
      <c r="AU332" s="25" t="str">
        <f aca="false">IFERROR(X332/(AN332*T332),"")</f>
        <v/>
      </c>
      <c r="AV332" s="25" t="str">
        <f aca="false">IFERROR(AN332*T332/3600/X332*1000,"")</f>
        <v/>
      </c>
      <c r="AW332" s="26" t="str">
        <f aca="false">IFERROR(Cost_Model!$B$21*K332*T332/3600/X332*1000000,"")</f>
        <v/>
      </c>
      <c r="AX332" s="27" t="str">
        <f aca="false">IF(ISNUMBER(Z332),IF(Z332&lt;=Run_Config!$B$31,"PASS","FAIL"),"")</f>
        <v/>
      </c>
      <c r="AY332" s="27" t="str">
        <f aca="false">IF(ISNUMBER(AH332),IF(AH332&gt;=Run_Config!$B$33,"PASS","FAIL"),"")</f>
        <v/>
      </c>
    </row>
    <row r="333" customFormat="false" ht="15" hidden="false" customHeight="false" outlineLevel="0" collapsed="false">
      <c r="AR333" s="23" t="str">
        <f aca="false">IFERROR(V333/(U333+V333)*100,"")</f>
        <v/>
      </c>
      <c r="AS333" s="24" t="str">
        <f aca="false">IFERROR(AI333/K333,"")</f>
        <v/>
      </c>
      <c r="AT333" s="24" t="str">
        <f aca="false">IFERROR(IF(AN333="","",AN333*T333/3600),"")</f>
        <v/>
      </c>
      <c r="AU333" s="25" t="str">
        <f aca="false">IFERROR(X333/(AN333*T333),"")</f>
        <v/>
      </c>
      <c r="AV333" s="25" t="str">
        <f aca="false">IFERROR(AN333*T333/3600/X333*1000,"")</f>
        <v/>
      </c>
      <c r="AW333" s="26" t="str">
        <f aca="false">IFERROR(Cost_Model!$B$21*K333*T333/3600/X333*1000000,"")</f>
        <v/>
      </c>
      <c r="AX333" s="27" t="str">
        <f aca="false">IF(ISNUMBER(Z333),IF(Z333&lt;=Run_Config!$B$31,"PASS","FAIL"),"")</f>
        <v/>
      </c>
      <c r="AY333" s="27" t="str">
        <f aca="false">IF(ISNUMBER(AH333),IF(AH333&gt;=Run_Config!$B$33,"PASS","FAIL"),"")</f>
        <v/>
      </c>
    </row>
    <row r="334" customFormat="false" ht="15" hidden="false" customHeight="false" outlineLevel="0" collapsed="false">
      <c r="AR334" s="23" t="str">
        <f aca="false">IFERROR(V334/(U334+V334)*100,"")</f>
        <v/>
      </c>
      <c r="AS334" s="24" t="str">
        <f aca="false">IFERROR(AI334/K334,"")</f>
        <v/>
      </c>
      <c r="AT334" s="24" t="str">
        <f aca="false">IFERROR(IF(AN334="","",AN334*T334/3600),"")</f>
        <v/>
      </c>
      <c r="AU334" s="25" t="str">
        <f aca="false">IFERROR(X334/(AN334*T334),"")</f>
        <v/>
      </c>
      <c r="AV334" s="25" t="str">
        <f aca="false">IFERROR(AN334*T334/3600/X334*1000,"")</f>
        <v/>
      </c>
      <c r="AW334" s="26" t="str">
        <f aca="false">IFERROR(Cost_Model!$B$21*K334*T334/3600/X334*1000000,"")</f>
        <v/>
      </c>
      <c r="AX334" s="27" t="str">
        <f aca="false">IF(ISNUMBER(Z334),IF(Z334&lt;=Run_Config!$B$31,"PASS","FAIL"),"")</f>
        <v/>
      </c>
      <c r="AY334" s="27" t="str">
        <f aca="false">IF(ISNUMBER(AH334),IF(AH334&gt;=Run_Config!$B$33,"PASS","FAIL"),"")</f>
        <v/>
      </c>
    </row>
    <row r="335" customFormat="false" ht="15" hidden="false" customHeight="false" outlineLevel="0" collapsed="false">
      <c r="AR335" s="23" t="str">
        <f aca="false">IFERROR(V335/(U335+V335)*100,"")</f>
        <v/>
      </c>
      <c r="AS335" s="24" t="str">
        <f aca="false">IFERROR(AI335/K335,"")</f>
        <v/>
      </c>
      <c r="AT335" s="24" t="str">
        <f aca="false">IFERROR(IF(AN335="","",AN335*T335/3600),"")</f>
        <v/>
      </c>
      <c r="AU335" s="25" t="str">
        <f aca="false">IFERROR(X335/(AN335*T335),"")</f>
        <v/>
      </c>
      <c r="AV335" s="25" t="str">
        <f aca="false">IFERROR(AN335*T335/3600/X335*1000,"")</f>
        <v/>
      </c>
      <c r="AW335" s="26" t="str">
        <f aca="false">IFERROR(Cost_Model!$B$21*K335*T335/3600/X335*1000000,"")</f>
        <v/>
      </c>
      <c r="AX335" s="27" t="str">
        <f aca="false">IF(ISNUMBER(Z335),IF(Z335&lt;=Run_Config!$B$31,"PASS","FAIL"),"")</f>
        <v/>
      </c>
      <c r="AY335" s="27" t="str">
        <f aca="false">IF(ISNUMBER(AH335),IF(AH335&gt;=Run_Config!$B$33,"PASS","FAIL"),"")</f>
        <v/>
      </c>
    </row>
    <row r="336" customFormat="false" ht="15" hidden="false" customHeight="false" outlineLevel="0" collapsed="false">
      <c r="AR336" s="23" t="str">
        <f aca="false">IFERROR(V336/(U336+V336)*100,"")</f>
        <v/>
      </c>
      <c r="AS336" s="24" t="str">
        <f aca="false">IFERROR(AI336/K336,"")</f>
        <v/>
      </c>
      <c r="AT336" s="24" t="str">
        <f aca="false">IFERROR(IF(AN336="","",AN336*T336/3600),"")</f>
        <v/>
      </c>
      <c r="AU336" s="25" t="str">
        <f aca="false">IFERROR(X336/(AN336*T336),"")</f>
        <v/>
      </c>
      <c r="AV336" s="25" t="str">
        <f aca="false">IFERROR(AN336*T336/3600/X336*1000,"")</f>
        <v/>
      </c>
      <c r="AW336" s="26" t="str">
        <f aca="false">IFERROR(Cost_Model!$B$21*K336*T336/3600/X336*1000000,"")</f>
        <v/>
      </c>
      <c r="AX336" s="27" t="str">
        <f aca="false">IF(ISNUMBER(Z336),IF(Z336&lt;=Run_Config!$B$31,"PASS","FAIL"),"")</f>
        <v/>
      </c>
      <c r="AY336" s="27" t="str">
        <f aca="false">IF(ISNUMBER(AH336),IF(AH336&gt;=Run_Config!$B$33,"PASS","FAIL"),"")</f>
        <v/>
      </c>
    </row>
    <row r="337" customFormat="false" ht="15" hidden="false" customHeight="false" outlineLevel="0" collapsed="false">
      <c r="AR337" s="23" t="str">
        <f aca="false">IFERROR(V337/(U337+V337)*100,"")</f>
        <v/>
      </c>
      <c r="AS337" s="24" t="str">
        <f aca="false">IFERROR(AI337/K337,"")</f>
        <v/>
      </c>
      <c r="AT337" s="24" t="str">
        <f aca="false">IFERROR(IF(AN337="","",AN337*T337/3600),"")</f>
        <v/>
      </c>
      <c r="AU337" s="25" t="str">
        <f aca="false">IFERROR(X337/(AN337*T337),"")</f>
        <v/>
      </c>
      <c r="AV337" s="25" t="str">
        <f aca="false">IFERROR(AN337*T337/3600/X337*1000,"")</f>
        <v/>
      </c>
      <c r="AW337" s="26" t="str">
        <f aca="false">IFERROR(Cost_Model!$B$21*K337*T337/3600/X337*1000000,"")</f>
        <v/>
      </c>
      <c r="AX337" s="27" t="str">
        <f aca="false">IF(ISNUMBER(Z337),IF(Z337&lt;=Run_Config!$B$31,"PASS","FAIL"),"")</f>
        <v/>
      </c>
      <c r="AY337" s="27" t="str">
        <f aca="false">IF(ISNUMBER(AH337),IF(AH337&gt;=Run_Config!$B$33,"PASS","FAIL"),"")</f>
        <v/>
      </c>
    </row>
    <row r="338" customFormat="false" ht="15" hidden="false" customHeight="false" outlineLevel="0" collapsed="false">
      <c r="AR338" s="23" t="str">
        <f aca="false">IFERROR(V338/(U338+V338)*100,"")</f>
        <v/>
      </c>
      <c r="AS338" s="24" t="str">
        <f aca="false">IFERROR(AI338/K338,"")</f>
        <v/>
      </c>
      <c r="AT338" s="24" t="str">
        <f aca="false">IFERROR(IF(AN338="","",AN338*T338/3600),"")</f>
        <v/>
      </c>
      <c r="AU338" s="25" t="str">
        <f aca="false">IFERROR(X338/(AN338*T338),"")</f>
        <v/>
      </c>
      <c r="AV338" s="25" t="str">
        <f aca="false">IFERROR(AN338*T338/3600/X338*1000,"")</f>
        <v/>
      </c>
      <c r="AW338" s="26" t="str">
        <f aca="false">IFERROR(Cost_Model!$B$21*K338*T338/3600/X338*1000000,"")</f>
        <v/>
      </c>
      <c r="AX338" s="27" t="str">
        <f aca="false">IF(ISNUMBER(Z338),IF(Z338&lt;=Run_Config!$B$31,"PASS","FAIL"),"")</f>
        <v/>
      </c>
      <c r="AY338" s="27" t="str">
        <f aca="false">IF(ISNUMBER(AH338),IF(AH338&gt;=Run_Config!$B$33,"PASS","FAIL"),"")</f>
        <v/>
      </c>
    </row>
    <row r="339" customFormat="false" ht="15" hidden="false" customHeight="false" outlineLevel="0" collapsed="false">
      <c r="AR339" s="23" t="str">
        <f aca="false">IFERROR(V339/(U339+V339)*100,"")</f>
        <v/>
      </c>
      <c r="AS339" s="24" t="str">
        <f aca="false">IFERROR(AI339/K339,"")</f>
        <v/>
      </c>
      <c r="AT339" s="24" t="str">
        <f aca="false">IFERROR(IF(AN339="","",AN339*T339/3600),"")</f>
        <v/>
      </c>
      <c r="AU339" s="25" t="str">
        <f aca="false">IFERROR(X339/(AN339*T339),"")</f>
        <v/>
      </c>
      <c r="AV339" s="25" t="str">
        <f aca="false">IFERROR(AN339*T339/3600/X339*1000,"")</f>
        <v/>
      </c>
      <c r="AW339" s="26" t="str">
        <f aca="false">IFERROR(Cost_Model!$B$21*K339*T339/3600/X339*1000000,"")</f>
        <v/>
      </c>
      <c r="AX339" s="27" t="str">
        <f aca="false">IF(ISNUMBER(Z339),IF(Z339&lt;=Run_Config!$B$31,"PASS","FAIL"),"")</f>
        <v/>
      </c>
      <c r="AY339" s="27" t="str">
        <f aca="false">IF(ISNUMBER(AH339),IF(AH339&gt;=Run_Config!$B$33,"PASS","FAIL"),"")</f>
        <v/>
      </c>
    </row>
    <row r="340" customFormat="false" ht="15" hidden="false" customHeight="false" outlineLevel="0" collapsed="false">
      <c r="AR340" s="23" t="str">
        <f aca="false">IFERROR(V340/(U340+V340)*100,"")</f>
        <v/>
      </c>
      <c r="AS340" s="24" t="str">
        <f aca="false">IFERROR(AI340/K340,"")</f>
        <v/>
      </c>
      <c r="AT340" s="24" t="str">
        <f aca="false">IFERROR(IF(AN340="","",AN340*T340/3600),"")</f>
        <v/>
      </c>
      <c r="AU340" s="25" t="str">
        <f aca="false">IFERROR(X340/(AN340*T340),"")</f>
        <v/>
      </c>
      <c r="AV340" s="25" t="str">
        <f aca="false">IFERROR(AN340*T340/3600/X340*1000,"")</f>
        <v/>
      </c>
      <c r="AW340" s="26" t="str">
        <f aca="false">IFERROR(Cost_Model!$B$21*K340*T340/3600/X340*1000000,"")</f>
        <v/>
      </c>
      <c r="AX340" s="27" t="str">
        <f aca="false">IF(ISNUMBER(Z340),IF(Z340&lt;=Run_Config!$B$31,"PASS","FAIL"),"")</f>
        <v/>
      </c>
      <c r="AY340" s="27" t="str">
        <f aca="false">IF(ISNUMBER(AH340),IF(AH340&gt;=Run_Config!$B$33,"PASS","FAIL"),"")</f>
        <v/>
      </c>
    </row>
    <row r="341" customFormat="false" ht="15" hidden="false" customHeight="false" outlineLevel="0" collapsed="false">
      <c r="AR341" s="23" t="str">
        <f aca="false">IFERROR(V341/(U341+V341)*100,"")</f>
        <v/>
      </c>
      <c r="AS341" s="24" t="str">
        <f aca="false">IFERROR(AI341/K341,"")</f>
        <v/>
      </c>
      <c r="AT341" s="24" t="str">
        <f aca="false">IFERROR(IF(AN341="","",AN341*T341/3600),"")</f>
        <v/>
      </c>
      <c r="AU341" s="25" t="str">
        <f aca="false">IFERROR(X341/(AN341*T341),"")</f>
        <v/>
      </c>
      <c r="AV341" s="25" t="str">
        <f aca="false">IFERROR(AN341*T341/3600/X341*1000,"")</f>
        <v/>
      </c>
      <c r="AW341" s="26" t="str">
        <f aca="false">IFERROR(Cost_Model!$B$21*K341*T341/3600/X341*1000000,"")</f>
        <v/>
      </c>
      <c r="AX341" s="27" t="str">
        <f aca="false">IF(ISNUMBER(Z341),IF(Z341&lt;=Run_Config!$B$31,"PASS","FAIL"),"")</f>
        <v/>
      </c>
      <c r="AY341" s="27" t="str">
        <f aca="false">IF(ISNUMBER(AH341),IF(AH341&gt;=Run_Config!$B$33,"PASS","FAIL"),"")</f>
        <v/>
      </c>
    </row>
    <row r="342" customFormat="false" ht="15" hidden="false" customHeight="false" outlineLevel="0" collapsed="false">
      <c r="AR342" s="23" t="str">
        <f aca="false">IFERROR(V342/(U342+V342)*100,"")</f>
        <v/>
      </c>
      <c r="AS342" s="24" t="str">
        <f aca="false">IFERROR(AI342/K342,"")</f>
        <v/>
      </c>
      <c r="AT342" s="24" t="str">
        <f aca="false">IFERROR(IF(AN342="","",AN342*T342/3600),"")</f>
        <v/>
      </c>
      <c r="AU342" s="25" t="str">
        <f aca="false">IFERROR(X342/(AN342*T342),"")</f>
        <v/>
      </c>
      <c r="AV342" s="25" t="str">
        <f aca="false">IFERROR(AN342*T342/3600/X342*1000,"")</f>
        <v/>
      </c>
      <c r="AW342" s="26" t="str">
        <f aca="false">IFERROR(Cost_Model!$B$21*K342*T342/3600/X342*1000000,"")</f>
        <v/>
      </c>
      <c r="AX342" s="27" t="str">
        <f aca="false">IF(ISNUMBER(Z342),IF(Z342&lt;=Run_Config!$B$31,"PASS","FAIL"),"")</f>
        <v/>
      </c>
      <c r="AY342" s="27" t="str">
        <f aca="false">IF(ISNUMBER(AH342),IF(AH342&gt;=Run_Config!$B$33,"PASS","FAIL"),"")</f>
        <v/>
      </c>
    </row>
    <row r="343" customFormat="false" ht="15" hidden="false" customHeight="false" outlineLevel="0" collapsed="false">
      <c r="AR343" s="23" t="str">
        <f aca="false">IFERROR(V343/(U343+V343)*100,"")</f>
        <v/>
      </c>
      <c r="AS343" s="24" t="str">
        <f aca="false">IFERROR(AI343/K343,"")</f>
        <v/>
      </c>
      <c r="AT343" s="24" t="str">
        <f aca="false">IFERROR(IF(AN343="","",AN343*T343/3600),"")</f>
        <v/>
      </c>
      <c r="AU343" s="25" t="str">
        <f aca="false">IFERROR(X343/(AN343*T343),"")</f>
        <v/>
      </c>
      <c r="AV343" s="25" t="str">
        <f aca="false">IFERROR(AN343*T343/3600/X343*1000,"")</f>
        <v/>
      </c>
      <c r="AW343" s="26" t="str">
        <f aca="false">IFERROR(Cost_Model!$B$21*K343*T343/3600/X343*1000000,"")</f>
        <v/>
      </c>
      <c r="AX343" s="27" t="str">
        <f aca="false">IF(ISNUMBER(Z343),IF(Z343&lt;=Run_Config!$B$31,"PASS","FAIL"),"")</f>
        <v/>
      </c>
      <c r="AY343" s="27" t="str">
        <f aca="false">IF(ISNUMBER(AH343),IF(AH343&gt;=Run_Config!$B$33,"PASS","FAIL"),"")</f>
        <v/>
      </c>
    </row>
    <row r="344" customFormat="false" ht="15" hidden="false" customHeight="false" outlineLevel="0" collapsed="false">
      <c r="AR344" s="23" t="str">
        <f aca="false">IFERROR(V344/(U344+V344)*100,"")</f>
        <v/>
      </c>
      <c r="AS344" s="24" t="str">
        <f aca="false">IFERROR(AI344/K344,"")</f>
        <v/>
      </c>
      <c r="AT344" s="24" t="str">
        <f aca="false">IFERROR(IF(AN344="","",AN344*T344/3600),"")</f>
        <v/>
      </c>
      <c r="AU344" s="25" t="str">
        <f aca="false">IFERROR(X344/(AN344*T344),"")</f>
        <v/>
      </c>
      <c r="AV344" s="25" t="str">
        <f aca="false">IFERROR(AN344*T344/3600/X344*1000,"")</f>
        <v/>
      </c>
      <c r="AW344" s="26" t="str">
        <f aca="false">IFERROR(Cost_Model!$B$21*K344*T344/3600/X344*1000000,"")</f>
        <v/>
      </c>
      <c r="AX344" s="27" t="str">
        <f aca="false">IF(ISNUMBER(Z344),IF(Z344&lt;=Run_Config!$B$31,"PASS","FAIL"),"")</f>
        <v/>
      </c>
      <c r="AY344" s="27" t="str">
        <f aca="false">IF(ISNUMBER(AH344),IF(AH344&gt;=Run_Config!$B$33,"PASS","FAIL"),"")</f>
        <v/>
      </c>
    </row>
    <row r="345" customFormat="false" ht="15" hidden="false" customHeight="false" outlineLevel="0" collapsed="false">
      <c r="AR345" s="23" t="str">
        <f aca="false">IFERROR(V345/(U345+V345)*100,"")</f>
        <v/>
      </c>
      <c r="AS345" s="24" t="str">
        <f aca="false">IFERROR(AI345/K345,"")</f>
        <v/>
      </c>
      <c r="AT345" s="24" t="str">
        <f aca="false">IFERROR(IF(AN345="","",AN345*T345/3600),"")</f>
        <v/>
      </c>
      <c r="AU345" s="25" t="str">
        <f aca="false">IFERROR(X345/(AN345*T345),"")</f>
        <v/>
      </c>
      <c r="AV345" s="25" t="str">
        <f aca="false">IFERROR(AN345*T345/3600/X345*1000,"")</f>
        <v/>
      </c>
      <c r="AW345" s="26" t="str">
        <f aca="false">IFERROR(Cost_Model!$B$21*K345*T345/3600/X345*1000000,"")</f>
        <v/>
      </c>
      <c r="AX345" s="27" t="str">
        <f aca="false">IF(ISNUMBER(Z345),IF(Z345&lt;=Run_Config!$B$31,"PASS","FAIL"),"")</f>
        <v/>
      </c>
      <c r="AY345" s="27" t="str">
        <f aca="false">IF(ISNUMBER(AH345),IF(AH345&gt;=Run_Config!$B$33,"PASS","FAIL"),"")</f>
        <v/>
      </c>
    </row>
    <row r="346" customFormat="false" ht="15" hidden="false" customHeight="false" outlineLevel="0" collapsed="false">
      <c r="AR346" s="23" t="str">
        <f aca="false">IFERROR(V346/(U346+V346)*100,"")</f>
        <v/>
      </c>
      <c r="AS346" s="24" t="str">
        <f aca="false">IFERROR(AI346/K346,"")</f>
        <v/>
      </c>
      <c r="AT346" s="24" t="str">
        <f aca="false">IFERROR(IF(AN346="","",AN346*T346/3600),"")</f>
        <v/>
      </c>
      <c r="AU346" s="25" t="str">
        <f aca="false">IFERROR(X346/(AN346*T346),"")</f>
        <v/>
      </c>
      <c r="AV346" s="25" t="str">
        <f aca="false">IFERROR(AN346*T346/3600/X346*1000,"")</f>
        <v/>
      </c>
      <c r="AW346" s="26" t="str">
        <f aca="false">IFERROR(Cost_Model!$B$21*K346*T346/3600/X346*1000000,"")</f>
        <v/>
      </c>
      <c r="AX346" s="27" t="str">
        <f aca="false">IF(ISNUMBER(Z346),IF(Z346&lt;=Run_Config!$B$31,"PASS","FAIL"),"")</f>
        <v/>
      </c>
      <c r="AY346" s="27" t="str">
        <f aca="false">IF(ISNUMBER(AH346),IF(AH346&gt;=Run_Config!$B$33,"PASS","FAIL"),"")</f>
        <v/>
      </c>
    </row>
    <row r="347" customFormat="false" ht="15" hidden="false" customHeight="false" outlineLevel="0" collapsed="false">
      <c r="AR347" s="23" t="str">
        <f aca="false">IFERROR(V347/(U347+V347)*100,"")</f>
        <v/>
      </c>
      <c r="AS347" s="24" t="str">
        <f aca="false">IFERROR(AI347/K347,"")</f>
        <v/>
      </c>
      <c r="AT347" s="24" t="str">
        <f aca="false">IFERROR(IF(AN347="","",AN347*T347/3600),"")</f>
        <v/>
      </c>
      <c r="AU347" s="25" t="str">
        <f aca="false">IFERROR(X347/(AN347*T347),"")</f>
        <v/>
      </c>
      <c r="AV347" s="25" t="str">
        <f aca="false">IFERROR(AN347*T347/3600/X347*1000,"")</f>
        <v/>
      </c>
      <c r="AW347" s="26" t="str">
        <f aca="false">IFERROR(Cost_Model!$B$21*K347*T347/3600/X347*1000000,"")</f>
        <v/>
      </c>
      <c r="AX347" s="27" t="str">
        <f aca="false">IF(ISNUMBER(Z347),IF(Z347&lt;=Run_Config!$B$31,"PASS","FAIL"),"")</f>
        <v/>
      </c>
      <c r="AY347" s="27" t="str">
        <f aca="false">IF(ISNUMBER(AH347),IF(AH347&gt;=Run_Config!$B$33,"PASS","FAIL"),"")</f>
        <v/>
      </c>
    </row>
    <row r="348" customFormat="false" ht="15" hidden="false" customHeight="false" outlineLevel="0" collapsed="false">
      <c r="AR348" s="23" t="str">
        <f aca="false">IFERROR(V348/(U348+V348)*100,"")</f>
        <v/>
      </c>
      <c r="AS348" s="24" t="str">
        <f aca="false">IFERROR(AI348/K348,"")</f>
        <v/>
      </c>
      <c r="AT348" s="24" t="str">
        <f aca="false">IFERROR(IF(AN348="","",AN348*T348/3600),"")</f>
        <v/>
      </c>
      <c r="AU348" s="25" t="str">
        <f aca="false">IFERROR(X348/(AN348*T348),"")</f>
        <v/>
      </c>
      <c r="AV348" s="25" t="str">
        <f aca="false">IFERROR(AN348*T348/3600/X348*1000,"")</f>
        <v/>
      </c>
      <c r="AW348" s="26" t="str">
        <f aca="false">IFERROR(Cost_Model!$B$21*K348*T348/3600/X348*1000000,"")</f>
        <v/>
      </c>
      <c r="AX348" s="27" t="str">
        <f aca="false">IF(ISNUMBER(Z348),IF(Z348&lt;=Run_Config!$B$31,"PASS","FAIL"),"")</f>
        <v/>
      </c>
      <c r="AY348" s="27" t="str">
        <f aca="false">IF(ISNUMBER(AH348),IF(AH348&gt;=Run_Config!$B$33,"PASS","FAIL"),"")</f>
        <v/>
      </c>
    </row>
    <row r="349" customFormat="false" ht="15" hidden="false" customHeight="false" outlineLevel="0" collapsed="false">
      <c r="AR349" s="23" t="str">
        <f aca="false">IFERROR(V349/(U349+V349)*100,"")</f>
        <v/>
      </c>
      <c r="AS349" s="24" t="str">
        <f aca="false">IFERROR(AI349/K349,"")</f>
        <v/>
      </c>
      <c r="AT349" s="24" t="str">
        <f aca="false">IFERROR(IF(AN349="","",AN349*T349/3600),"")</f>
        <v/>
      </c>
      <c r="AU349" s="25" t="str">
        <f aca="false">IFERROR(X349/(AN349*T349),"")</f>
        <v/>
      </c>
      <c r="AV349" s="25" t="str">
        <f aca="false">IFERROR(AN349*T349/3600/X349*1000,"")</f>
        <v/>
      </c>
      <c r="AW349" s="26" t="str">
        <f aca="false">IFERROR(Cost_Model!$B$21*K349*T349/3600/X349*1000000,"")</f>
        <v/>
      </c>
      <c r="AX349" s="27" t="str">
        <f aca="false">IF(ISNUMBER(Z349),IF(Z349&lt;=Run_Config!$B$31,"PASS","FAIL"),"")</f>
        <v/>
      </c>
      <c r="AY349" s="27" t="str">
        <f aca="false">IF(ISNUMBER(AH349),IF(AH349&gt;=Run_Config!$B$33,"PASS","FAIL"),"")</f>
        <v/>
      </c>
    </row>
    <row r="350" customFormat="false" ht="15" hidden="false" customHeight="false" outlineLevel="0" collapsed="false">
      <c r="AR350" s="23" t="str">
        <f aca="false">IFERROR(V350/(U350+V350)*100,"")</f>
        <v/>
      </c>
      <c r="AS350" s="24" t="str">
        <f aca="false">IFERROR(AI350/K350,"")</f>
        <v/>
      </c>
      <c r="AT350" s="24" t="str">
        <f aca="false">IFERROR(IF(AN350="","",AN350*T350/3600),"")</f>
        <v/>
      </c>
      <c r="AU350" s="25" t="str">
        <f aca="false">IFERROR(X350/(AN350*T350),"")</f>
        <v/>
      </c>
      <c r="AV350" s="25" t="str">
        <f aca="false">IFERROR(AN350*T350/3600/X350*1000,"")</f>
        <v/>
      </c>
      <c r="AW350" s="26" t="str">
        <f aca="false">IFERROR(Cost_Model!$B$21*K350*T350/3600/X350*1000000,"")</f>
        <v/>
      </c>
      <c r="AX350" s="27" t="str">
        <f aca="false">IF(ISNUMBER(Z350),IF(Z350&lt;=Run_Config!$B$31,"PASS","FAIL"),"")</f>
        <v/>
      </c>
      <c r="AY350" s="27" t="str">
        <f aca="false">IF(ISNUMBER(AH350),IF(AH350&gt;=Run_Config!$B$33,"PASS","FAIL"),"")</f>
        <v/>
      </c>
    </row>
    <row r="351" customFormat="false" ht="15" hidden="false" customHeight="false" outlineLevel="0" collapsed="false">
      <c r="AR351" s="23" t="str">
        <f aca="false">IFERROR(V351/(U351+V351)*100,"")</f>
        <v/>
      </c>
      <c r="AS351" s="24" t="str">
        <f aca="false">IFERROR(AI351/K351,"")</f>
        <v/>
      </c>
      <c r="AT351" s="24" t="str">
        <f aca="false">IFERROR(IF(AN351="","",AN351*T351/3600),"")</f>
        <v/>
      </c>
      <c r="AU351" s="25" t="str">
        <f aca="false">IFERROR(X351/(AN351*T351),"")</f>
        <v/>
      </c>
      <c r="AV351" s="25" t="str">
        <f aca="false">IFERROR(AN351*T351/3600/X351*1000,"")</f>
        <v/>
      </c>
      <c r="AW351" s="26" t="str">
        <f aca="false">IFERROR(Cost_Model!$B$21*K351*T351/3600/X351*1000000,"")</f>
        <v/>
      </c>
      <c r="AX351" s="27" t="str">
        <f aca="false">IF(ISNUMBER(Z351),IF(Z351&lt;=Run_Config!$B$31,"PASS","FAIL"),"")</f>
        <v/>
      </c>
      <c r="AY351" s="27" t="str">
        <f aca="false">IF(ISNUMBER(AH351),IF(AH351&gt;=Run_Config!$B$33,"PASS","FAIL"),"")</f>
        <v/>
      </c>
    </row>
    <row r="352" customFormat="false" ht="15" hidden="false" customHeight="false" outlineLevel="0" collapsed="false">
      <c r="AR352" s="23" t="str">
        <f aca="false">IFERROR(V352/(U352+V352)*100,"")</f>
        <v/>
      </c>
      <c r="AS352" s="24" t="str">
        <f aca="false">IFERROR(AI352/K352,"")</f>
        <v/>
      </c>
      <c r="AT352" s="24" t="str">
        <f aca="false">IFERROR(IF(AN352="","",AN352*T352/3600),"")</f>
        <v/>
      </c>
      <c r="AU352" s="25" t="str">
        <f aca="false">IFERROR(X352/(AN352*T352),"")</f>
        <v/>
      </c>
      <c r="AV352" s="25" t="str">
        <f aca="false">IFERROR(AN352*T352/3600/X352*1000,"")</f>
        <v/>
      </c>
      <c r="AW352" s="26" t="str">
        <f aca="false">IFERROR(Cost_Model!$B$21*K352*T352/3600/X352*1000000,"")</f>
        <v/>
      </c>
      <c r="AX352" s="27" t="str">
        <f aca="false">IF(ISNUMBER(Z352),IF(Z352&lt;=Run_Config!$B$31,"PASS","FAIL"),"")</f>
        <v/>
      </c>
      <c r="AY352" s="27" t="str">
        <f aca="false">IF(ISNUMBER(AH352),IF(AH352&gt;=Run_Config!$B$33,"PASS","FAIL"),"")</f>
        <v/>
      </c>
    </row>
    <row r="353" customFormat="false" ht="15" hidden="false" customHeight="false" outlineLevel="0" collapsed="false">
      <c r="AR353" s="23" t="str">
        <f aca="false">IFERROR(V353/(U353+V353)*100,"")</f>
        <v/>
      </c>
      <c r="AS353" s="24" t="str">
        <f aca="false">IFERROR(AI353/K353,"")</f>
        <v/>
      </c>
      <c r="AT353" s="24" t="str">
        <f aca="false">IFERROR(IF(AN353="","",AN353*T353/3600),"")</f>
        <v/>
      </c>
      <c r="AU353" s="25" t="str">
        <f aca="false">IFERROR(X353/(AN353*T353),"")</f>
        <v/>
      </c>
      <c r="AV353" s="25" t="str">
        <f aca="false">IFERROR(AN353*T353/3600/X353*1000,"")</f>
        <v/>
      </c>
      <c r="AW353" s="26" t="str">
        <f aca="false">IFERROR(Cost_Model!$B$21*K353*T353/3600/X353*1000000,"")</f>
        <v/>
      </c>
      <c r="AX353" s="27" t="str">
        <f aca="false">IF(ISNUMBER(Z353),IF(Z353&lt;=Run_Config!$B$31,"PASS","FAIL"),"")</f>
        <v/>
      </c>
      <c r="AY353" s="27" t="str">
        <f aca="false">IF(ISNUMBER(AH353),IF(AH353&gt;=Run_Config!$B$33,"PASS","FAIL"),"")</f>
        <v/>
      </c>
    </row>
    <row r="354" customFormat="false" ht="15" hidden="false" customHeight="false" outlineLevel="0" collapsed="false">
      <c r="AR354" s="23" t="str">
        <f aca="false">IFERROR(V354/(U354+V354)*100,"")</f>
        <v/>
      </c>
      <c r="AS354" s="24" t="str">
        <f aca="false">IFERROR(AI354/K354,"")</f>
        <v/>
      </c>
      <c r="AT354" s="24" t="str">
        <f aca="false">IFERROR(IF(AN354="","",AN354*T354/3600),"")</f>
        <v/>
      </c>
      <c r="AU354" s="25" t="str">
        <f aca="false">IFERROR(X354/(AN354*T354),"")</f>
        <v/>
      </c>
      <c r="AV354" s="25" t="str">
        <f aca="false">IFERROR(AN354*T354/3600/X354*1000,"")</f>
        <v/>
      </c>
      <c r="AW354" s="26" t="str">
        <f aca="false">IFERROR(Cost_Model!$B$21*K354*T354/3600/X354*1000000,"")</f>
        <v/>
      </c>
      <c r="AX354" s="27" t="str">
        <f aca="false">IF(ISNUMBER(Z354),IF(Z354&lt;=Run_Config!$B$31,"PASS","FAIL"),"")</f>
        <v/>
      </c>
      <c r="AY354" s="27" t="str">
        <f aca="false">IF(ISNUMBER(AH354),IF(AH354&gt;=Run_Config!$B$33,"PASS","FAIL"),"")</f>
        <v/>
      </c>
    </row>
    <row r="355" customFormat="false" ht="15" hidden="false" customHeight="false" outlineLevel="0" collapsed="false">
      <c r="AR355" s="23" t="str">
        <f aca="false">IFERROR(V355/(U355+V355)*100,"")</f>
        <v/>
      </c>
      <c r="AS355" s="24" t="str">
        <f aca="false">IFERROR(AI355/K355,"")</f>
        <v/>
      </c>
      <c r="AT355" s="24" t="str">
        <f aca="false">IFERROR(IF(AN355="","",AN355*T355/3600),"")</f>
        <v/>
      </c>
      <c r="AU355" s="25" t="str">
        <f aca="false">IFERROR(X355/(AN355*T355),"")</f>
        <v/>
      </c>
      <c r="AV355" s="25" t="str">
        <f aca="false">IFERROR(AN355*T355/3600/X355*1000,"")</f>
        <v/>
      </c>
      <c r="AW355" s="26" t="str">
        <f aca="false">IFERROR(Cost_Model!$B$21*K355*T355/3600/X355*1000000,"")</f>
        <v/>
      </c>
      <c r="AX355" s="27" t="str">
        <f aca="false">IF(ISNUMBER(Z355),IF(Z355&lt;=Run_Config!$B$31,"PASS","FAIL"),"")</f>
        <v/>
      </c>
      <c r="AY355" s="27" t="str">
        <f aca="false">IF(ISNUMBER(AH355),IF(AH355&gt;=Run_Config!$B$33,"PASS","FAIL"),"")</f>
        <v/>
      </c>
    </row>
    <row r="356" customFormat="false" ht="15" hidden="false" customHeight="false" outlineLevel="0" collapsed="false">
      <c r="AR356" s="23" t="str">
        <f aca="false">IFERROR(V356/(U356+V356)*100,"")</f>
        <v/>
      </c>
      <c r="AS356" s="24" t="str">
        <f aca="false">IFERROR(AI356/K356,"")</f>
        <v/>
      </c>
      <c r="AT356" s="24" t="str">
        <f aca="false">IFERROR(IF(AN356="","",AN356*T356/3600),"")</f>
        <v/>
      </c>
      <c r="AU356" s="25" t="str">
        <f aca="false">IFERROR(X356/(AN356*T356),"")</f>
        <v/>
      </c>
      <c r="AV356" s="25" t="str">
        <f aca="false">IFERROR(AN356*T356/3600/X356*1000,"")</f>
        <v/>
      </c>
      <c r="AW356" s="26" t="str">
        <f aca="false">IFERROR(Cost_Model!$B$21*K356*T356/3600/X356*1000000,"")</f>
        <v/>
      </c>
      <c r="AX356" s="27" t="str">
        <f aca="false">IF(ISNUMBER(Z356),IF(Z356&lt;=Run_Config!$B$31,"PASS","FAIL"),"")</f>
        <v/>
      </c>
      <c r="AY356" s="27" t="str">
        <f aca="false">IF(ISNUMBER(AH356),IF(AH356&gt;=Run_Config!$B$33,"PASS","FAIL"),"")</f>
        <v/>
      </c>
    </row>
    <row r="357" customFormat="false" ht="15" hidden="false" customHeight="false" outlineLevel="0" collapsed="false">
      <c r="AR357" s="23" t="str">
        <f aca="false">IFERROR(V357/(U357+V357)*100,"")</f>
        <v/>
      </c>
      <c r="AS357" s="24" t="str">
        <f aca="false">IFERROR(AI357/K357,"")</f>
        <v/>
      </c>
      <c r="AT357" s="24" t="str">
        <f aca="false">IFERROR(IF(AN357="","",AN357*T357/3600),"")</f>
        <v/>
      </c>
      <c r="AU357" s="25" t="str">
        <f aca="false">IFERROR(X357/(AN357*T357),"")</f>
        <v/>
      </c>
      <c r="AV357" s="25" t="str">
        <f aca="false">IFERROR(AN357*T357/3600/X357*1000,"")</f>
        <v/>
      </c>
      <c r="AW357" s="26" t="str">
        <f aca="false">IFERROR(Cost_Model!$B$21*K357*T357/3600/X357*1000000,"")</f>
        <v/>
      </c>
      <c r="AX357" s="27" t="str">
        <f aca="false">IF(ISNUMBER(Z357),IF(Z357&lt;=Run_Config!$B$31,"PASS","FAIL"),"")</f>
        <v/>
      </c>
      <c r="AY357" s="27" t="str">
        <f aca="false">IF(ISNUMBER(AH357),IF(AH357&gt;=Run_Config!$B$33,"PASS","FAIL"),"")</f>
        <v/>
      </c>
    </row>
    <row r="358" customFormat="false" ht="15" hidden="false" customHeight="false" outlineLevel="0" collapsed="false">
      <c r="AR358" s="23" t="str">
        <f aca="false">IFERROR(V358/(U358+V358)*100,"")</f>
        <v/>
      </c>
      <c r="AS358" s="24" t="str">
        <f aca="false">IFERROR(AI358/K358,"")</f>
        <v/>
      </c>
      <c r="AT358" s="24" t="str">
        <f aca="false">IFERROR(IF(AN358="","",AN358*T358/3600),"")</f>
        <v/>
      </c>
      <c r="AU358" s="25" t="str">
        <f aca="false">IFERROR(X358/(AN358*T358),"")</f>
        <v/>
      </c>
      <c r="AV358" s="25" t="str">
        <f aca="false">IFERROR(AN358*T358/3600/X358*1000,"")</f>
        <v/>
      </c>
      <c r="AW358" s="26" t="str">
        <f aca="false">IFERROR(Cost_Model!$B$21*K358*T358/3600/X358*1000000,"")</f>
        <v/>
      </c>
      <c r="AX358" s="27" t="str">
        <f aca="false">IF(ISNUMBER(Z358),IF(Z358&lt;=Run_Config!$B$31,"PASS","FAIL"),"")</f>
        <v/>
      </c>
      <c r="AY358" s="27" t="str">
        <f aca="false">IF(ISNUMBER(AH358),IF(AH358&gt;=Run_Config!$B$33,"PASS","FAIL"),"")</f>
        <v/>
      </c>
    </row>
    <row r="359" customFormat="false" ht="15" hidden="false" customHeight="false" outlineLevel="0" collapsed="false">
      <c r="AR359" s="23" t="str">
        <f aca="false">IFERROR(V359/(U359+V359)*100,"")</f>
        <v/>
      </c>
      <c r="AS359" s="24" t="str">
        <f aca="false">IFERROR(AI359/K359,"")</f>
        <v/>
      </c>
      <c r="AT359" s="24" t="str">
        <f aca="false">IFERROR(IF(AN359="","",AN359*T359/3600),"")</f>
        <v/>
      </c>
      <c r="AU359" s="25" t="str">
        <f aca="false">IFERROR(X359/(AN359*T359),"")</f>
        <v/>
      </c>
      <c r="AV359" s="25" t="str">
        <f aca="false">IFERROR(AN359*T359/3600/X359*1000,"")</f>
        <v/>
      </c>
      <c r="AW359" s="26" t="str">
        <f aca="false">IFERROR(Cost_Model!$B$21*K359*T359/3600/X359*1000000,"")</f>
        <v/>
      </c>
      <c r="AX359" s="27" t="str">
        <f aca="false">IF(ISNUMBER(Z359),IF(Z359&lt;=Run_Config!$B$31,"PASS","FAIL"),"")</f>
        <v/>
      </c>
      <c r="AY359" s="27" t="str">
        <f aca="false">IF(ISNUMBER(AH359),IF(AH359&gt;=Run_Config!$B$33,"PASS","FAIL"),"")</f>
        <v/>
      </c>
    </row>
    <row r="360" customFormat="false" ht="15" hidden="false" customHeight="false" outlineLevel="0" collapsed="false">
      <c r="AR360" s="23" t="str">
        <f aca="false">IFERROR(V360/(U360+V360)*100,"")</f>
        <v/>
      </c>
      <c r="AS360" s="24" t="str">
        <f aca="false">IFERROR(AI360/K360,"")</f>
        <v/>
      </c>
      <c r="AT360" s="24" t="str">
        <f aca="false">IFERROR(IF(AN360="","",AN360*T360/3600),"")</f>
        <v/>
      </c>
      <c r="AU360" s="25" t="str">
        <f aca="false">IFERROR(X360/(AN360*T360),"")</f>
        <v/>
      </c>
      <c r="AV360" s="25" t="str">
        <f aca="false">IFERROR(AN360*T360/3600/X360*1000,"")</f>
        <v/>
      </c>
      <c r="AW360" s="26" t="str">
        <f aca="false">IFERROR(Cost_Model!$B$21*K360*T360/3600/X360*1000000,"")</f>
        <v/>
      </c>
      <c r="AX360" s="27" t="str">
        <f aca="false">IF(ISNUMBER(Z360),IF(Z360&lt;=Run_Config!$B$31,"PASS","FAIL"),"")</f>
        <v/>
      </c>
      <c r="AY360" s="27" t="str">
        <f aca="false">IF(ISNUMBER(AH360),IF(AH360&gt;=Run_Config!$B$33,"PASS","FAIL"),"")</f>
        <v/>
      </c>
    </row>
    <row r="361" customFormat="false" ht="15" hidden="false" customHeight="false" outlineLevel="0" collapsed="false">
      <c r="AR361" s="23" t="str">
        <f aca="false">IFERROR(V361/(U361+V361)*100,"")</f>
        <v/>
      </c>
      <c r="AS361" s="24" t="str">
        <f aca="false">IFERROR(AI361/K361,"")</f>
        <v/>
      </c>
      <c r="AT361" s="24" t="str">
        <f aca="false">IFERROR(IF(AN361="","",AN361*T361/3600),"")</f>
        <v/>
      </c>
      <c r="AU361" s="25" t="str">
        <f aca="false">IFERROR(X361/(AN361*T361),"")</f>
        <v/>
      </c>
      <c r="AV361" s="25" t="str">
        <f aca="false">IFERROR(AN361*T361/3600/X361*1000,"")</f>
        <v/>
      </c>
      <c r="AW361" s="26" t="str">
        <f aca="false">IFERROR(Cost_Model!$B$21*K361*T361/3600/X361*1000000,"")</f>
        <v/>
      </c>
      <c r="AX361" s="27" t="str">
        <f aca="false">IF(ISNUMBER(Z361),IF(Z361&lt;=Run_Config!$B$31,"PASS","FAIL"),"")</f>
        <v/>
      </c>
      <c r="AY361" s="27" t="str">
        <f aca="false">IF(ISNUMBER(AH361),IF(AH361&gt;=Run_Config!$B$33,"PASS","FAIL"),"")</f>
        <v/>
      </c>
    </row>
    <row r="362" customFormat="false" ht="15" hidden="false" customHeight="false" outlineLevel="0" collapsed="false">
      <c r="AR362" s="23" t="str">
        <f aca="false">IFERROR(V362/(U362+V362)*100,"")</f>
        <v/>
      </c>
      <c r="AS362" s="24" t="str">
        <f aca="false">IFERROR(AI362/K362,"")</f>
        <v/>
      </c>
      <c r="AT362" s="24" t="str">
        <f aca="false">IFERROR(IF(AN362="","",AN362*T362/3600),"")</f>
        <v/>
      </c>
      <c r="AU362" s="25" t="str">
        <f aca="false">IFERROR(X362/(AN362*T362),"")</f>
        <v/>
      </c>
      <c r="AV362" s="25" t="str">
        <f aca="false">IFERROR(AN362*T362/3600/X362*1000,"")</f>
        <v/>
      </c>
      <c r="AW362" s="26" t="str">
        <f aca="false">IFERROR(Cost_Model!$B$21*K362*T362/3600/X362*1000000,"")</f>
        <v/>
      </c>
      <c r="AX362" s="27" t="str">
        <f aca="false">IF(ISNUMBER(Z362),IF(Z362&lt;=Run_Config!$B$31,"PASS","FAIL"),"")</f>
        <v/>
      </c>
      <c r="AY362" s="27" t="str">
        <f aca="false">IF(ISNUMBER(AH362),IF(AH362&gt;=Run_Config!$B$33,"PASS","FAIL"),"")</f>
        <v/>
      </c>
    </row>
    <row r="363" customFormat="false" ht="15" hidden="false" customHeight="false" outlineLevel="0" collapsed="false">
      <c r="AR363" s="23" t="str">
        <f aca="false">IFERROR(V363/(U363+V363)*100,"")</f>
        <v/>
      </c>
      <c r="AS363" s="24" t="str">
        <f aca="false">IFERROR(AI363/K363,"")</f>
        <v/>
      </c>
      <c r="AT363" s="24" t="str">
        <f aca="false">IFERROR(IF(AN363="","",AN363*T363/3600),"")</f>
        <v/>
      </c>
      <c r="AU363" s="25" t="str">
        <f aca="false">IFERROR(X363/(AN363*T363),"")</f>
        <v/>
      </c>
      <c r="AV363" s="25" t="str">
        <f aca="false">IFERROR(AN363*T363/3600/X363*1000,"")</f>
        <v/>
      </c>
      <c r="AW363" s="26" t="str">
        <f aca="false">IFERROR(Cost_Model!$B$21*K363*T363/3600/X363*1000000,"")</f>
        <v/>
      </c>
      <c r="AX363" s="27" t="str">
        <f aca="false">IF(ISNUMBER(Z363),IF(Z363&lt;=Run_Config!$B$31,"PASS","FAIL"),"")</f>
        <v/>
      </c>
      <c r="AY363" s="27" t="str">
        <f aca="false">IF(ISNUMBER(AH363),IF(AH363&gt;=Run_Config!$B$33,"PASS","FAIL"),"")</f>
        <v/>
      </c>
    </row>
    <row r="364" customFormat="false" ht="15" hidden="false" customHeight="false" outlineLevel="0" collapsed="false">
      <c r="AR364" s="23" t="str">
        <f aca="false">IFERROR(V364/(U364+V364)*100,"")</f>
        <v/>
      </c>
      <c r="AS364" s="24" t="str">
        <f aca="false">IFERROR(AI364/K364,"")</f>
        <v/>
      </c>
      <c r="AT364" s="24" t="str">
        <f aca="false">IFERROR(IF(AN364="","",AN364*T364/3600),"")</f>
        <v/>
      </c>
      <c r="AU364" s="25" t="str">
        <f aca="false">IFERROR(X364/(AN364*T364),"")</f>
        <v/>
      </c>
      <c r="AV364" s="25" t="str">
        <f aca="false">IFERROR(AN364*T364/3600/X364*1000,"")</f>
        <v/>
      </c>
      <c r="AW364" s="26" t="str">
        <f aca="false">IFERROR(Cost_Model!$B$21*K364*T364/3600/X364*1000000,"")</f>
        <v/>
      </c>
      <c r="AX364" s="27" t="str">
        <f aca="false">IF(ISNUMBER(Z364),IF(Z364&lt;=Run_Config!$B$31,"PASS","FAIL"),"")</f>
        <v/>
      </c>
      <c r="AY364" s="27" t="str">
        <f aca="false">IF(ISNUMBER(AH364),IF(AH364&gt;=Run_Config!$B$33,"PASS","FAIL"),"")</f>
        <v/>
      </c>
    </row>
    <row r="365" customFormat="false" ht="15" hidden="false" customHeight="false" outlineLevel="0" collapsed="false">
      <c r="AR365" s="23" t="str">
        <f aca="false">IFERROR(V365/(U365+V365)*100,"")</f>
        <v/>
      </c>
      <c r="AS365" s="24" t="str">
        <f aca="false">IFERROR(AI365/K365,"")</f>
        <v/>
      </c>
      <c r="AT365" s="24" t="str">
        <f aca="false">IFERROR(IF(AN365="","",AN365*T365/3600),"")</f>
        <v/>
      </c>
      <c r="AU365" s="25" t="str">
        <f aca="false">IFERROR(X365/(AN365*T365),"")</f>
        <v/>
      </c>
      <c r="AV365" s="25" t="str">
        <f aca="false">IFERROR(AN365*T365/3600/X365*1000,"")</f>
        <v/>
      </c>
      <c r="AW365" s="26" t="str">
        <f aca="false">IFERROR(Cost_Model!$B$21*K365*T365/3600/X365*1000000,"")</f>
        <v/>
      </c>
      <c r="AX365" s="27" t="str">
        <f aca="false">IF(ISNUMBER(Z365),IF(Z365&lt;=Run_Config!$B$31,"PASS","FAIL"),"")</f>
        <v/>
      </c>
      <c r="AY365" s="27" t="str">
        <f aca="false">IF(ISNUMBER(AH365),IF(AH365&gt;=Run_Config!$B$33,"PASS","FAIL"),"")</f>
        <v/>
      </c>
    </row>
    <row r="366" customFormat="false" ht="15" hidden="false" customHeight="false" outlineLevel="0" collapsed="false">
      <c r="AR366" s="23" t="str">
        <f aca="false">IFERROR(V366/(U366+V366)*100,"")</f>
        <v/>
      </c>
      <c r="AS366" s="24" t="str">
        <f aca="false">IFERROR(AI366/K366,"")</f>
        <v/>
      </c>
      <c r="AT366" s="24" t="str">
        <f aca="false">IFERROR(IF(AN366="","",AN366*T366/3600),"")</f>
        <v/>
      </c>
      <c r="AU366" s="25" t="str">
        <f aca="false">IFERROR(X366/(AN366*T366),"")</f>
        <v/>
      </c>
      <c r="AV366" s="25" t="str">
        <f aca="false">IFERROR(AN366*T366/3600/X366*1000,"")</f>
        <v/>
      </c>
      <c r="AW366" s="26" t="str">
        <f aca="false">IFERROR(Cost_Model!$B$21*K366*T366/3600/X366*1000000,"")</f>
        <v/>
      </c>
      <c r="AX366" s="27" t="str">
        <f aca="false">IF(ISNUMBER(Z366),IF(Z366&lt;=Run_Config!$B$31,"PASS","FAIL"),"")</f>
        <v/>
      </c>
      <c r="AY366" s="27" t="str">
        <f aca="false">IF(ISNUMBER(AH366),IF(AH366&gt;=Run_Config!$B$33,"PASS","FAIL"),"")</f>
        <v/>
      </c>
    </row>
    <row r="367" customFormat="false" ht="15" hidden="false" customHeight="false" outlineLevel="0" collapsed="false">
      <c r="AR367" s="23" t="str">
        <f aca="false">IFERROR(V367/(U367+V367)*100,"")</f>
        <v/>
      </c>
      <c r="AS367" s="24" t="str">
        <f aca="false">IFERROR(AI367/K367,"")</f>
        <v/>
      </c>
      <c r="AT367" s="24" t="str">
        <f aca="false">IFERROR(IF(AN367="","",AN367*T367/3600),"")</f>
        <v/>
      </c>
      <c r="AU367" s="25" t="str">
        <f aca="false">IFERROR(X367/(AN367*T367),"")</f>
        <v/>
      </c>
      <c r="AV367" s="25" t="str">
        <f aca="false">IFERROR(AN367*T367/3600/X367*1000,"")</f>
        <v/>
      </c>
      <c r="AW367" s="26" t="str">
        <f aca="false">IFERROR(Cost_Model!$B$21*K367*T367/3600/X367*1000000,"")</f>
        <v/>
      </c>
      <c r="AX367" s="27" t="str">
        <f aca="false">IF(ISNUMBER(Z367),IF(Z367&lt;=Run_Config!$B$31,"PASS","FAIL"),"")</f>
        <v/>
      </c>
      <c r="AY367" s="27" t="str">
        <f aca="false">IF(ISNUMBER(AH367),IF(AH367&gt;=Run_Config!$B$33,"PASS","FAIL"),"")</f>
        <v/>
      </c>
    </row>
    <row r="368" customFormat="false" ht="15" hidden="false" customHeight="false" outlineLevel="0" collapsed="false">
      <c r="AR368" s="23" t="str">
        <f aca="false">IFERROR(V368/(U368+V368)*100,"")</f>
        <v/>
      </c>
      <c r="AS368" s="24" t="str">
        <f aca="false">IFERROR(AI368/K368,"")</f>
        <v/>
      </c>
      <c r="AT368" s="24" t="str">
        <f aca="false">IFERROR(IF(AN368="","",AN368*T368/3600),"")</f>
        <v/>
      </c>
      <c r="AU368" s="25" t="str">
        <f aca="false">IFERROR(X368/(AN368*T368),"")</f>
        <v/>
      </c>
      <c r="AV368" s="25" t="str">
        <f aca="false">IFERROR(AN368*T368/3600/X368*1000,"")</f>
        <v/>
      </c>
      <c r="AW368" s="26" t="str">
        <f aca="false">IFERROR(Cost_Model!$B$21*K368*T368/3600/X368*1000000,"")</f>
        <v/>
      </c>
      <c r="AX368" s="27" t="str">
        <f aca="false">IF(ISNUMBER(Z368),IF(Z368&lt;=Run_Config!$B$31,"PASS","FAIL"),"")</f>
        <v/>
      </c>
      <c r="AY368" s="27" t="str">
        <f aca="false">IF(ISNUMBER(AH368),IF(AH368&gt;=Run_Config!$B$33,"PASS","FAIL"),"")</f>
        <v/>
      </c>
    </row>
    <row r="369" customFormat="false" ht="15" hidden="false" customHeight="false" outlineLevel="0" collapsed="false">
      <c r="AR369" s="23" t="str">
        <f aca="false">IFERROR(V369/(U369+V369)*100,"")</f>
        <v/>
      </c>
      <c r="AS369" s="24" t="str">
        <f aca="false">IFERROR(AI369/K369,"")</f>
        <v/>
      </c>
      <c r="AT369" s="24" t="str">
        <f aca="false">IFERROR(IF(AN369="","",AN369*T369/3600),"")</f>
        <v/>
      </c>
      <c r="AU369" s="25" t="str">
        <f aca="false">IFERROR(X369/(AN369*T369),"")</f>
        <v/>
      </c>
      <c r="AV369" s="25" t="str">
        <f aca="false">IFERROR(AN369*T369/3600/X369*1000,"")</f>
        <v/>
      </c>
      <c r="AW369" s="26" t="str">
        <f aca="false">IFERROR(Cost_Model!$B$21*K369*T369/3600/X369*1000000,"")</f>
        <v/>
      </c>
      <c r="AX369" s="27" t="str">
        <f aca="false">IF(ISNUMBER(Z369),IF(Z369&lt;=Run_Config!$B$31,"PASS","FAIL"),"")</f>
        <v/>
      </c>
      <c r="AY369" s="27" t="str">
        <f aca="false">IF(ISNUMBER(AH369),IF(AH369&gt;=Run_Config!$B$33,"PASS","FAIL"),"")</f>
        <v/>
      </c>
    </row>
    <row r="370" customFormat="false" ht="15" hidden="false" customHeight="false" outlineLevel="0" collapsed="false">
      <c r="AR370" s="23" t="str">
        <f aca="false">IFERROR(V370/(U370+V370)*100,"")</f>
        <v/>
      </c>
      <c r="AS370" s="24" t="str">
        <f aca="false">IFERROR(AI370/K370,"")</f>
        <v/>
      </c>
      <c r="AT370" s="24" t="str">
        <f aca="false">IFERROR(IF(AN370="","",AN370*T370/3600),"")</f>
        <v/>
      </c>
      <c r="AU370" s="25" t="str">
        <f aca="false">IFERROR(X370/(AN370*T370),"")</f>
        <v/>
      </c>
      <c r="AV370" s="25" t="str">
        <f aca="false">IFERROR(AN370*T370/3600/X370*1000,"")</f>
        <v/>
      </c>
      <c r="AW370" s="26" t="str">
        <f aca="false">IFERROR(Cost_Model!$B$21*K370*T370/3600/X370*1000000,"")</f>
        <v/>
      </c>
      <c r="AX370" s="27" t="str">
        <f aca="false">IF(ISNUMBER(Z370),IF(Z370&lt;=Run_Config!$B$31,"PASS","FAIL"),"")</f>
        <v/>
      </c>
      <c r="AY370" s="27" t="str">
        <f aca="false">IF(ISNUMBER(AH370),IF(AH370&gt;=Run_Config!$B$33,"PASS","FAIL"),"")</f>
        <v/>
      </c>
    </row>
    <row r="371" customFormat="false" ht="15" hidden="false" customHeight="false" outlineLevel="0" collapsed="false">
      <c r="AR371" s="23" t="str">
        <f aca="false">IFERROR(V371/(U371+V371)*100,"")</f>
        <v/>
      </c>
      <c r="AS371" s="24" t="str">
        <f aca="false">IFERROR(AI371/K371,"")</f>
        <v/>
      </c>
      <c r="AT371" s="24" t="str">
        <f aca="false">IFERROR(IF(AN371="","",AN371*T371/3600),"")</f>
        <v/>
      </c>
      <c r="AU371" s="25" t="str">
        <f aca="false">IFERROR(X371/(AN371*T371),"")</f>
        <v/>
      </c>
      <c r="AV371" s="25" t="str">
        <f aca="false">IFERROR(AN371*T371/3600/X371*1000,"")</f>
        <v/>
      </c>
      <c r="AW371" s="26" t="str">
        <f aca="false">IFERROR(Cost_Model!$B$21*K371*T371/3600/X371*1000000,"")</f>
        <v/>
      </c>
      <c r="AX371" s="27" t="str">
        <f aca="false">IF(ISNUMBER(Z371),IF(Z371&lt;=Run_Config!$B$31,"PASS","FAIL"),"")</f>
        <v/>
      </c>
      <c r="AY371" s="27" t="str">
        <f aca="false">IF(ISNUMBER(AH371),IF(AH371&gt;=Run_Config!$B$33,"PASS","FAIL"),"")</f>
        <v/>
      </c>
    </row>
    <row r="372" customFormat="false" ht="15" hidden="false" customHeight="false" outlineLevel="0" collapsed="false">
      <c r="AR372" s="23" t="str">
        <f aca="false">IFERROR(V372/(U372+V372)*100,"")</f>
        <v/>
      </c>
      <c r="AS372" s="24" t="str">
        <f aca="false">IFERROR(AI372/K372,"")</f>
        <v/>
      </c>
      <c r="AT372" s="24" t="str">
        <f aca="false">IFERROR(IF(AN372="","",AN372*T372/3600),"")</f>
        <v/>
      </c>
      <c r="AU372" s="25" t="str">
        <f aca="false">IFERROR(X372/(AN372*T372),"")</f>
        <v/>
      </c>
      <c r="AV372" s="25" t="str">
        <f aca="false">IFERROR(AN372*T372/3600/X372*1000,"")</f>
        <v/>
      </c>
      <c r="AW372" s="26" t="str">
        <f aca="false">IFERROR(Cost_Model!$B$21*K372*T372/3600/X372*1000000,"")</f>
        <v/>
      </c>
      <c r="AX372" s="27" t="str">
        <f aca="false">IF(ISNUMBER(Z372),IF(Z372&lt;=Run_Config!$B$31,"PASS","FAIL"),"")</f>
        <v/>
      </c>
      <c r="AY372" s="27" t="str">
        <f aca="false">IF(ISNUMBER(AH372),IF(AH372&gt;=Run_Config!$B$33,"PASS","FAIL"),"")</f>
        <v/>
      </c>
    </row>
    <row r="373" customFormat="false" ht="15" hidden="false" customHeight="false" outlineLevel="0" collapsed="false">
      <c r="AR373" s="23" t="str">
        <f aca="false">IFERROR(V373/(U373+V373)*100,"")</f>
        <v/>
      </c>
      <c r="AS373" s="24" t="str">
        <f aca="false">IFERROR(AI373/K373,"")</f>
        <v/>
      </c>
      <c r="AT373" s="24" t="str">
        <f aca="false">IFERROR(IF(AN373="","",AN373*T373/3600),"")</f>
        <v/>
      </c>
      <c r="AU373" s="25" t="str">
        <f aca="false">IFERROR(X373/(AN373*T373),"")</f>
        <v/>
      </c>
      <c r="AV373" s="25" t="str">
        <f aca="false">IFERROR(AN373*T373/3600/X373*1000,"")</f>
        <v/>
      </c>
      <c r="AW373" s="26" t="str">
        <f aca="false">IFERROR(Cost_Model!$B$21*K373*T373/3600/X373*1000000,"")</f>
        <v/>
      </c>
      <c r="AX373" s="27" t="str">
        <f aca="false">IF(ISNUMBER(Z373),IF(Z373&lt;=Run_Config!$B$31,"PASS","FAIL"),"")</f>
        <v/>
      </c>
      <c r="AY373" s="27" t="str">
        <f aca="false">IF(ISNUMBER(AH373),IF(AH373&gt;=Run_Config!$B$33,"PASS","FAIL"),"")</f>
        <v/>
      </c>
    </row>
    <row r="374" customFormat="false" ht="15" hidden="false" customHeight="false" outlineLevel="0" collapsed="false">
      <c r="AR374" s="23" t="str">
        <f aca="false">IFERROR(V374/(U374+V374)*100,"")</f>
        <v/>
      </c>
      <c r="AS374" s="24" t="str">
        <f aca="false">IFERROR(AI374/K374,"")</f>
        <v/>
      </c>
      <c r="AT374" s="24" t="str">
        <f aca="false">IFERROR(IF(AN374="","",AN374*T374/3600),"")</f>
        <v/>
      </c>
      <c r="AU374" s="25" t="str">
        <f aca="false">IFERROR(X374/(AN374*T374),"")</f>
        <v/>
      </c>
      <c r="AV374" s="25" t="str">
        <f aca="false">IFERROR(AN374*T374/3600/X374*1000,"")</f>
        <v/>
      </c>
      <c r="AW374" s="26" t="str">
        <f aca="false">IFERROR(Cost_Model!$B$21*K374*T374/3600/X374*1000000,"")</f>
        <v/>
      </c>
      <c r="AX374" s="27" t="str">
        <f aca="false">IF(ISNUMBER(Z374),IF(Z374&lt;=Run_Config!$B$31,"PASS","FAIL"),"")</f>
        <v/>
      </c>
      <c r="AY374" s="27" t="str">
        <f aca="false">IF(ISNUMBER(AH374),IF(AH374&gt;=Run_Config!$B$33,"PASS","FAIL"),"")</f>
        <v/>
      </c>
    </row>
    <row r="375" customFormat="false" ht="15" hidden="false" customHeight="false" outlineLevel="0" collapsed="false">
      <c r="AR375" s="23" t="str">
        <f aca="false">IFERROR(V375/(U375+V375)*100,"")</f>
        <v/>
      </c>
      <c r="AS375" s="24" t="str">
        <f aca="false">IFERROR(AI375/K375,"")</f>
        <v/>
      </c>
      <c r="AT375" s="24" t="str">
        <f aca="false">IFERROR(IF(AN375="","",AN375*T375/3600),"")</f>
        <v/>
      </c>
      <c r="AU375" s="25" t="str">
        <f aca="false">IFERROR(X375/(AN375*T375),"")</f>
        <v/>
      </c>
      <c r="AV375" s="25" t="str">
        <f aca="false">IFERROR(AN375*T375/3600/X375*1000,"")</f>
        <v/>
      </c>
      <c r="AW375" s="26" t="str">
        <f aca="false">IFERROR(Cost_Model!$B$21*K375*T375/3600/X375*1000000,"")</f>
        <v/>
      </c>
      <c r="AX375" s="27" t="str">
        <f aca="false">IF(ISNUMBER(Z375),IF(Z375&lt;=Run_Config!$B$31,"PASS","FAIL"),"")</f>
        <v/>
      </c>
      <c r="AY375" s="27" t="str">
        <f aca="false">IF(ISNUMBER(AH375),IF(AH375&gt;=Run_Config!$B$33,"PASS","FAIL"),"")</f>
        <v/>
      </c>
    </row>
    <row r="376" customFormat="false" ht="15" hidden="false" customHeight="false" outlineLevel="0" collapsed="false">
      <c r="AR376" s="23" t="str">
        <f aca="false">IFERROR(V376/(U376+V376)*100,"")</f>
        <v/>
      </c>
      <c r="AS376" s="24" t="str">
        <f aca="false">IFERROR(AI376/K376,"")</f>
        <v/>
      </c>
      <c r="AT376" s="24" t="str">
        <f aca="false">IFERROR(IF(AN376="","",AN376*T376/3600),"")</f>
        <v/>
      </c>
      <c r="AU376" s="25" t="str">
        <f aca="false">IFERROR(X376/(AN376*T376),"")</f>
        <v/>
      </c>
      <c r="AV376" s="25" t="str">
        <f aca="false">IFERROR(AN376*T376/3600/X376*1000,"")</f>
        <v/>
      </c>
      <c r="AW376" s="26" t="str">
        <f aca="false">IFERROR(Cost_Model!$B$21*K376*T376/3600/X376*1000000,"")</f>
        <v/>
      </c>
      <c r="AX376" s="27" t="str">
        <f aca="false">IF(ISNUMBER(Z376),IF(Z376&lt;=Run_Config!$B$31,"PASS","FAIL"),"")</f>
        <v/>
      </c>
      <c r="AY376" s="27" t="str">
        <f aca="false">IF(ISNUMBER(AH376),IF(AH376&gt;=Run_Config!$B$33,"PASS","FAIL"),"")</f>
        <v/>
      </c>
    </row>
    <row r="377" customFormat="false" ht="15" hidden="false" customHeight="false" outlineLevel="0" collapsed="false">
      <c r="AR377" s="23" t="str">
        <f aca="false">IFERROR(V377/(U377+V377)*100,"")</f>
        <v/>
      </c>
      <c r="AS377" s="24" t="str">
        <f aca="false">IFERROR(AI377/K377,"")</f>
        <v/>
      </c>
      <c r="AT377" s="24" t="str">
        <f aca="false">IFERROR(IF(AN377="","",AN377*T377/3600),"")</f>
        <v/>
      </c>
      <c r="AU377" s="25" t="str">
        <f aca="false">IFERROR(X377/(AN377*T377),"")</f>
        <v/>
      </c>
      <c r="AV377" s="25" t="str">
        <f aca="false">IFERROR(AN377*T377/3600/X377*1000,"")</f>
        <v/>
      </c>
      <c r="AW377" s="26" t="str">
        <f aca="false">IFERROR(Cost_Model!$B$21*K377*T377/3600/X377*1000000,"")</f>
        <v/>
      </c>
      <c r="AX377" s="27" t="str">
        <f aca="false">IF(ISNUMBER(Z377),IF(Z377&lt;=Run_Config!$B$31,"PASS","FAIL"),"")</f>
        <v/>
      </c>
      <c r="AY377" s="27" t="str">
        <f aca="false">IF(ISNUMBER(AH377),IF(AH377&gt;=Run_Config!$B$33,"PASS","FAIL"),"")</f>
        <v/>
      </c>
    </row>
    <row r="378" customFormat="false" ht="15" hidden="false" customHeight="false" outlineLevel="0" collapsed="false">
      <c r="AR378" s="23" t="str">
        <f aca="false">IFERROR(V378/(U378+V378)*100,"")</f>
        <v/>
      </c>
      <c r="AS378" s="24" t="str">
        <f aca="false">IFERROR(AI378/K378,"")</f>
        <v/>
      </c>
      <c r="AT378" s="24" t="str">
        <f aca="false">IFERROR(IF(AN378="","",AN378*T378/3600),"")</f>
        <v/>
      </c>
      <c r="AU378" s="25" t="str">
        <f aca="false">IFERROR(X378/(AN378*T378),"")</f>
        <v/>
      </c>
      <c r="AV378" s="25" t="str">
        <f aca="false">IFERROR(AN378*T378/3600/X378*1000,"")</f>
        <v/>
      </c>
      <c r="AW378" s="26" t="str">
        <f aca="false">IFERROR(Cost_Model!$B$21*K378*T378/3600/X378*1000000,"")</f>
        <v/>
      </c>
      <c r="AX378" s="27" t="str">
        <f aca="false">IF(ISNUMBER(Z378),IF(Z378&lt;=Run_Config!$B$31,"PASS","FAIL"),"")</f>
        <v/>
      </c>
      <c r="AY378" s="27" t="str">
        <f aca="false">IF(ISNUMBER(AH378),IF(AH378&gt;=Run_Config!$B$33,"PASS","FAIL"),"")</f>
        <v/>
      </c>
    </row>
    <row r="379" customFormat="false" ht="15" hidden="false" customHeight="false" outlineLevel="0" collapsed="false">
      <c r="AR379" s="23" t="str">
        <f aca="false">IFERROR(V379/(U379+V379)*100,"")</f>
        <v/>
      </c>
      <c r="AS379" s="24" t="str">
        <f aca="false">IFERROR(AI379/K379,"")</f>
        <v/>
      </c>
      <c r="AT379" s="24" t="str">
        <f aca="false">IFERROR(IF(AN379="","",AN379*T379/3600),"")</f>
        <v/>
      </c>
      <c r="AU379" s="25" t="str">
        <f aca="false">IFERROR(X379/(AN379*T379),"")</f>
        <v/>
      </c>
      <c r="AV379" s="25" t="str">
        <f aca="false">IFERROR(AN379*T379/3600/X379*1000,"")</f>
        <v/>
      </c>
      <c r="AW379" s="26" t="str">
        <f aca="false">IFERROR(Cost_Model!$B$21*K379*T379/3600/X379*1000000,"")</f>
        <v/>
      </c>
      <c r="AX379" s="27" t="str">
        <f aca="false">IF(ISNUMBER(Z379),IF(Z379&lt;=Run_Config!$B$31,"PASS","FAIL"),"")</f>
        <v/>
      </c>
      <c r="AY379" s="27" t="str">
        <f aca="false">IF(ISNUMBER(AH379),IF(AH379&gt;=Run_Config!$B$33,"PASS","FAIL"),"")</f>
        <v/>
      </c>
    </row>
    <row r="380" customFormat="false" ht="15" hidden="false" customHeight="false" outlineLevel="0" collapsed="false">
      <c r="AR380" s="23" t="str">
        <f aca="false">IFERROR(V380/(U380+V380)*100,"")</f>
        <v/>
      </c>
      <c r="AS380" s="24" t="str">
        <f aca="false">IFERROR(AI380/K380,"")</f>
        <v/>
      </c>
      <c r="AT380" s="24" t="str">
        <f aca="false">IFERROR(IF(AN380="","",AN380*T380/3600),"")</f>
        <v/>
      </c>
      <c r="AU380" s="25" t="str">
        <f aca="false">IFERROR(X380/(AN380*T380),"")</f>
        <v/>
      </c>
      <c r="AV380" s="25" t="str">
        <f aca="false">IFERROR(AN380*T380/3600/X380*1000,"")</f>
        <v/>
      </c>
      <c r="AW380" s="26" t="str">
        <f aca="false">IFERROR(Cost_Model!$B$21*K380*T380/3600/X380*1000000,"")</f>
        <v/>
      </c>
      <c r="AX380" s="27" t="str">
        <f aca="false">IF(ISNUMBER(Z380),IF(Z380&lt;=Run_Config!$B$31,"PASS","FAIL"),"")</f>
        <v/>
      </c>
      <c r="AY380" s="27" t="str">
        <f aca="false">IF(ISNUMBER(AH380),IF(AH380&gt;=Run_Config!$B$33,"PASS","FAIL"),"")</f>
        <v/>
      </c>
    </row>
    <row r="381" customFormat="false" ht="15" hidden="false" customHeight="false" outlineLevel="0" collapsed="false">
      <c r="AR381" s="23" t="str">
        <f aca="false">IFERROR(V381/(U381+V381)*100,"")</f>
        <v/>
      </c>
      <c r="AS381" s="24" t="str">
        <f aca="false">IFERROR(AI381/K381,"")</f>
        <v/>
      </c>
      <c r="AT381" s="24" t="str">
        <f aca="false">IFERROR(IF(AN381="","",AN381*T381/3600),"")</f>
        <v/>
      </c>
      <c r="AU381" s="25" t="str">
        <f aca="false">IFERROR(X381/(AN381*T381),"")</f>
        <v/>
      </c>
      <c r="AV381" s="25" t="str">
        <f aca="false">IFERROR(AN381*T381/3600/X381*1000,"")</f>
        <v/>
      </c>
      <c r="AW381" s="26" t="str">
        <f aca="false">IFERROR(Cost_Model!$B$21*K381*T381/3600/X381*1000000,"")</f>
        <v/>
      </c>
      <c r="AX381" s="27" t="str">
        <f aca="false">IF(ISNUMBER(Z381),IF(Z381&lt;=Run_Config!$B$31,"PASS","FAIL"),"")</f>
        <v/>
      </c>
      <c r="AY381" s="27" t="str">
        <f aca="false">IF(ISNUMBER(AH381),IF(AH381&gt;=Run_Config!$B$33,"PASS","FAIL"),"")</f>
        <v/>
      </c>
    </row>
    <row r="382" customFormat="false" ht="15" hidden="false" customHeight="false" outlineLevel="0" collapsed="false">
      <c r="AR382" s="23" t="str">
        <f aca="false">IFERROR(V382/(U382+V382)*100,"")</f>
        <v/>
      </c>
      <c r="AS382" s="24" t="str">
        <f aca="false">IFERROR(AI382/K382,"")</f>
        <v/>
      </c>
      <c r="AT382" s="24" t="str">
        <f aca="false">IFERROR(IF(AN382="","",AN382*T382/3600),"")</f>
        <v/>
      </c>
      <c r="AU382" s="25" t="str">
        <f aca="false">IFERROR(X382/(AN382*T382),"")</f>
        <v/>
      </c>
      <c r="AV382" s="25" t="str">
        <f aca="false">IFERROR(AN382*T382/3600/X382*1000,"")</f>
        <v/>
      </c>
      <c r="AW382" s="26" t="str">
        <f aca="false">IFERROR(Cost_Model!$B$21*K382*T382/3600/X382*1000000,"")</f>
        <v/>
      </c>
      <c r="AX382" s="27" t="str">
        <f aca="false">IF(ISNUMBER(Z382),IF(Z382&lt;=Run_Config!$B$31,"PASS","FAIL"),"")</f>
        <v/>
      </c>
      <c r="AY382" s="27" t="str">
        <f aca="false">IF(ISNUMBER(AH382),IF(AH382&gt;=Run_Config!$B$33,"PASS","FAIL"),"")</f>
        <v/>
      </c>
    </row>
    <row r="383" customFormat="false" ht="15" hidden="false" customHeight="false" outlineLevel="0" collapsed="false">
      <c r="AR383" s="23" t="str">
        <f aca="false">IFERROR(V383/(U383+V383)*100,"")</f>
        <v/>
      </c>
      <c r="AS383" s="24" t="str">
        <f aca="false">IFERROR(AI383/K383,"")</f>
        <v/>
      </c>
      <c r="AT383" s="24" t="str">
        <f aca="false">IFERROR(IF(AN383="","",AN383*T383/3600),"")</f>
        <v/>
      </c>
      <c r="AU383" s="25" t="str">
        <f aca="false">IFERROR(X383/(AN383*T383),"")</f>
        <v/>
      </c>
      <c r="AV383" s="25" t="str">
        <f aca="false">IFERROR(AN383*T383/3600/X383*1000,"")</f>
        <v/>
      </c>
      <c r="AW383" s="26" t="str">
        <f aca="false">IFERROR(Cost_Model!$B$21*K383*T383/3600/X383*1000000,"")</f>
        <v/>
      </c>
      <c r="AX383" s="27" t="str">
        <f aca="false">IF(ISNUMBER(Z383),IF(Z383&lt;=Run_Config!$B$31,"PASS","FAIL"),"")</f>
        <v/>
      </c>
      <c r="AY383" s="27" t="str">
        <f aca="false">IF(ISNUMBER(AH383),IF(AH383&gt;=Run_Config!$B$33,"PASS","FAIL"),"")</f>
        <v/>
      </c>
    </row>
    <row r="384" customFormat="false" ht="15" hidden="false" customHeight="false" outlineLevel="0" collapsed="false">
      <c r="AR384" s="23" t="str">
        <f aca="false">IFERROR(V384/(U384+V384)*100,"")</f>
        <v/>
      </c>
      <c r="AS384" s="24" t="str">
        <f aca="false">IFERROR(AI384/K384,"")</f>
        <v/>
      </c>
      <c r="AT384" s="24" t="str">
        <f aca="false">IFERROR(IF(AN384="","",AN384*T384/3600),"")</f>
        <v/>
      </c>
      <c r="AU384" s="25" t="str">
        <f aca="false">IFERROR(X384/(AN384*T384),"")</f>
        <v/>
      </c>
      <c r="AV384" s="25" t="str">
        <f aca="false">IFERROR(AN384*T384/3600/X384*1000,"")</f>
        <v/>
      </c>
      <c r="AW384" s="26" t="str">
        <f aca="false">IFERROR(Cost_Model!$B$21*K384*T384/3600/X384*1000000,"")</f>
        <v/>
      </c>
      <c r="AX384" s="27" t="str">
        <f aca="false">IF(ISNUMBER(Z384),IF(Z384&lt;=Run_Config!$B$31,"PASS","FAIL"),"")</f>
        <v/>
      </c>
      <c r="AY384" s="27" t="str">
        <f aca="false">IF(ISNUMBER(AH384),IF(AH384&gt;=Run_Config!$B$33,"PASS","FAIL"),"")</f>
        <v/>
      </c>
    </row>
    <row r="385" customFormat="false" ht="15" hidden="false" customHeight="false" outlineLevel="0" collapsed="false">
      <c r="AR385" s="23" t="str">
        <f aca="false">IFERROR(V385/(U385+V385)*100,"")</f>
        <v/>
      </c>
      <c r="AS385" s="24" t="str">
        <f aca="false">IFERROR(AI385/K385,"")</f>
        <v/>
      </c>
      <c r="AT385" s="24" t="str">
        <f aca="false">IFERROR(IF(AN385="","",AN385*T385/3600),"")</f>
        <v/>
      </c>
      <c r="AU385" s="25" t="str">
        <f aca="false">IFERROR(X385/(AN385*T385),"")</f>
        <v/>
      </c>
      <c r="AV385" s="25" t="str">
        <f aca="false">IFERROR(AN385*T385/3600/X385*1000,"")</f>
        <v/>
      </c>
      <c r="AW385" s="26" t="str">
        <f aca="false">IFERROR(Cost_Model!$B$21*K385*T385/3600/X385*1000000,"")</f>
        <v/>
      </c>
      <c r="AX385" s="27" t="str">
        <f aca="false">IF(ISNUMBER(Z385),IF(Z385&lt;=Run_Config!$B$31,"PASS","FAIL"),"")</f>
        <v/>
      </c>
      <c r="AY385" s="27" t="str">
        <f aca="false">IF(ISNUMBER(AH385),IF(AH385&gt;=Run_Config!$B$33,"PASS","FAIL"),"")</f>
        <v/>
      </c>
    </row>
    <row r="386" customFormat="false" ht="15" hidden="false" customHeight="false" outlineLevel="0" collapsed="false">
      <c r="AR386" s="23" t="str">
        <f aca="false">IFERROR(V386/(U386+V386)*100,"")</f>
        <v/>
      </c>
      <c r="AS386" s="24" t="str">
        <f aca="false">IFERROR(AI386/K386,"")</f>
        <v/>
      </c>
      <c r="AT386" s="24" t="str">
        <f aca="false">IFERROR(IF(AN386="","",AN386*T386/3600),"")</f>
        <v/>
      </c>
      <c r="AU386" s="25" t="str">
        <f aca="false">IFERROR(X386/(AN386*T386),"")</f>
        <v/>
      </c>
      <c r="AV386" s="25" t="str">
        <f aca="false">IFERROR(AN386*T386/3600/X386*1000,"")</f>
        <v/>
      </c>
      <c r="AW386" s="26" t="str">
        <f aca="false">IFERROR(Cost_Model!$B$21*K386*T386/3600/X386*1000000,"")</f>
        <v/>
      </c>
      <c r="AX386" s="27" t="str">
        <f aca="false">IF(ISNUMBER(Z386),IF(Z386&lt;=Run_Config!$B$31,"PASS","FAIL"),"")</f>
        <v/>
      </c>
      <c r="AY386" s="27" t="str">
        <f aca="false">IF(ISNUMBER(AH386),IF(AH386&gt;=Run_Config!$B$33,"PASS","FAIL"),"")</f>
        <v/>
      </c>
    </row>
    <row r="387" customFormat="false" ht="15" hidden="false" customHeight="false" outlineLevel="0" collapsed="false">
      <c r="AR387" s="23" t="str">
        <f aca="false">IFERROR(V387/(U387+V387)*100,"")</f>
        <v/>
      </c>
      <c r="AS387" s="24" t="str">
        <f aca="false">IFERROR(AI387/K387,"")</f>
        <v/>
      </c>
      <c r="AT387" s="24" t="str">
        <f aca="false">IFERROR(IF(AN387="","",AN387*T387/3600),"")</f>
        <v/>
      </c>
      <c r="AU387" s="25" t="str">
        <f aca="false">IFERROR(X387/(AN387*T387),"")</f>
        <v/>
      </c>
      <c r="AV387" s="25" t="str">
        <f aca="false">IFERROR(AN387*T387/3600/X387*1000,"")</f>
        <v/>
      </c>
      <c r="AW387" s="26" t="str">
        <f aca="false">IFERROR(Cost_Model!$B$21*K387*T387/3600/X387*1000000,"")</f>
        <v/>
      </c>
      <c r="AX387" s="27" t="str">
        <f aca="false">IF(ISNUMBER(Z387),IF(Z387&lt;=Run_Config!$B$31,"PASS","FAIL"),"")</f>
        <v/>
      </c>
      <c r="AY387" s="27" t="str">
        <f aca="false">IF(ISNUMBER(AH387),IF(AH387&gt;=Run_Config!$B$33,"PASS","FAIL"),"")</f>
        <v/>
      </c>
    </row>
    <row r="388" customFormat="false" ht="15" hidden="false" customHeight="false" outlineLevel="0" collapsed="false">
      <c r="AR388" s="23" t="str">
        <f aca="false">IFERROR(V388/(U388+V388)*100,"")</f>
        <v/>
      </c>
      <c r="AS388" s="24" t="str">
        <f aca="false">IFERROR(AI388/K388,"")</f>
        <v/>
      </c>
      <c r="AT388" s="24" t="str">
        <f aca="false">IFERROR(IF(AN388="","",AN388*T388/3600),"")</f>
        <v/>
      </c>
      <c r="AU388" s="25" t="str">
        <f aca="false">IFERROR(X388/(AN388*T388),"")</f>
        <v/>
      </c>
      <c r="AV388" s="25" t="str">
        <f aca="false">IFERROR(AN388*T388/3600/X388*1000,"")</f>
        <v/>
      </c>
      <c r="AW388" s="26" t="str">
        <f aca="false">IFERROR(Cost_Model!$B$21*K388*T388/3600/X388*1000000,"")</f>
        <v/>
      </c>
      <c r="AX388" s="27" t="str">
        <f aca="false">IF(ISNUMBER(Z388),IF(Z388&lt;=Run_Config!$B$31,"PASS","FAIL"),"")</f>
        <v/>
      </c>
      <c r="AY388" s="27" t="str">
        <f aca="false">IF(ISNUMBER(AH388),IF(AH388&gt;=Run_Config!$B$33,"PASS","FAIL"),"")</f>
        <v/>
      </c>
    </row>
    <row r="389" customFormat="false" ht="15" hidden="false" customHeight="false" outlineLevel="0" collapsed="false">
      <c r="AR389" s="23" t="str">
        <f aca="false">IFERROR(V389/(U389+V389)*100,"")</f>
        <v/>
      </c>
      <c r="AS389" s="24" t="str">
        <f aca="false">IFERROR(AI389/K389,"")</f>
        <v/>
      </c>
      <c r="AT389" s="24" t="str">
        <f aca="false">IFERROR(IF(AN389="","",AN389*T389/3600),"")</f>
        <v/>
      </c>
      <c r="AU389" s="25" t="str">
        <f aca="false">IFERROR(X389/(AN389*T389),"")</f>
        <v/>
      </c>
      <c r="AV389" s="25" t="str">
        <f aca="false">IFERROR(AN389*T389/3600/X389*1000,"")</f>
        <v/>
      </c>
      <c r="AW389" s="26" t="str">
        <f aca="false">IFERROR(Cost_Model!$B$21*K389*T389/3600/X389*1000000,"")</f>
        <v/>
      </c>
      <c r="AX389" s="27" t="str">
        <f aca="false">IF(ISNUMBER(Z389),IF(Z389&lt;=Run_Config!$B$31,"PASS","FAIL"),"")</f>
        <v/>
      </c>
      <c r="AY389" s="27" t="str">
        <f aca="false">IF(ISNUMBER(AH389),IF(AH389&gt;=Run_Config!$B$33,"PASS","FAIL"),"")</f>
        <v/>
      </c>
    </row>
    <row r="390" customFormat="false" ht="15" hidden="false" customHeight="false" outlineLevel="0" collapsed="false">
      <c r="AR390" s="23" t="str">
        <f aca="false">IFERROR(V390/(U390+V390)*100,"")</f>
        <v/>
      </c>
      <c r="AS390" s="24" t="str">
        <f aca="false">IFERROR(AI390/K390,"")</f>
        <v/>
      </c>
      <c r="AT390" s="24" t="str">
        <f aca="false">IFERROR(IF(AN390="","",AN390*T390/3600),"")</f>
        <v/>
      </c>
      <c r="AU390" s="25" t="str">
        <f aca="false">IFERROR(X390/(AN390*T390),"")</f>
        <v/>
      </c>
      <c r="AV390" s="25" t="str">
        <f aca="false">IFERROR(AN390*T390/3600/X390*1000,"")</f>
        <v/>
      </c>
      <c r="AW390" s="26" t="str">
        <f aca="false">IFERROR(Cost_Model!$B$21*K390*T390/3600/X390*1000000,"")</f>
        <v/>
      </c>
      <c r="AX390" s="27" t="str">
        <f aca="false">IF(ISNUMBER(Z390),IF(Z390&lt;=Run_Config!$B$31,"PASS","FAIL"),"")</f>
        <v/>
      </c>
      <c r="AY390" s="27" t="str">
        <f aca="false">IF(ISNUMBER(AH390),IF(AH390&gt;=Run_Config!$B$33,"PASS","FAIL"),"")</f>
        <v/>
      </c>
    </row>
    <row r="391" customFormat="false" ht="15" hidden="false" customHeight="false" outlineLevel="0" collapsed="false">
      <c r="AR391" s="23" t="str">
        <f aca="false">IFERROR(V391/(U391+V391)*100,"")</f>
        <v/>
      </c>
      <c r="AS391" s="24" t="str">
        <f aca="false">IFERROR(AI391/K391,"")</f>
        <v/>
      </c>
      <c r="AT391" s="24" t="str">
        <f aca="false">IFERROR(IF(AN391="","",AN391*T391/3600),"")</f>
        <v/>
      </c>
      <c r="AU391" s="25" t="str">
        <f aca="false">IFERROR(X391/(AN391*T391),"")</f>
        <v/>
      </c>
      <c r="AV391" s="25" t="str">
        <f aca="false">IFERROR(AN391*T391/3600/X391*1000,"")</f>
        <v/>
      </c>
      <c r="AW391" s="26" t="str">
        <f aca="false">IFERROR(Cost_Model!$B$21*K391*T391/3600/X391*1000000,"")</f>
        <v/>
      </c>
      <c r="AX391" s="27" t="str">
        <f aca="false">IF(ISNUMBER(Z391),IF(Z391&lt;=Run_Config!$B$31,"PASS","FAIL"),"")</f>
        <v/>
      </c>
      <c r="AY391" s="27" t="str">
        <f aca="false">IF(ISNUMBER(AH391),IF(AH391&gt;=Run_Config!$B$33,"PASS","FAIL"),"")</f>
        <v/>
      </c>
    </row>
    <row r="392" customFormat="false" ht="15" hidden="false" customHeight="false" outlineLevel="0" collapsed="false">
      <c r="AR392" s="23" t="str">
        <f aca="false">IFERROR(V392/(U392+V392)*100,"")</f>
        <v/>
      </c>
      <c r="AS392" s="24" t="str">
        <f aca="false">IFERROR(AI392/K392,"")</f>
        <v/>
      </c>
      <c r="AT392" s="24" t="str">
        <f aca="false">IFERROR(IF(AN392="","",AN392*T392/3600),"")</f>
        <v/>
      </c>
      <c r="AU392" s="25" t="str">
        <f aca="false">IFERROR(X392/(AN392*T392),"")</f>
        <v/>
      </c>
      <c r="AV392" s="25" t="str">
        <f aca="false">IFERROR(AN392*T392/3600/X392*1000,"")</f>
        <v/>
      </c>
      <c r="AW392" s="26" t="str">
        <f aca="false">IFERROR(Cost_Model!$B$21*K392*T392/3600/X392*1000000,"")</f>
        <v/>
      </c>
      <c r="AX392" s="27" t="str">
        <f aca="false">IF(ISNUMBER(Z392),IF(Z392&lt;=Run_Config!$B$31,"PASS","FAIL"),"")</f>
        <v/>
      </c>
      <c r="AY392" s="27" t="str">
        <f aca="false">IF(ISNUMBER(AH392),IF(AH392&gt;=Run_Config!$B$33,"PASS","FAIL"),"")</f>
        <v/>
      </c>
    </row>
    <row r="393" customFormat="false" ht="15" hidden="false" customHeight="false" outlineLevel="0" collapsed="false">
      <c r="AR393" s="23" t="str">
        <f aca="false">IFERROR(V393/(U393+V393)*100,"")</f>
        <v/>
      </c>
      <c r="AS393" s="24" t="str">
        <f aca="false">IFERROR(AI393/K393,"")</f>
        <v/>
      </c>
      <c r="AT393" s="24" t="str">
        <f aca="false">IFERROR(IF(AN393="","",AN393*T393/3600),"")</f>
        <v/>
      </c>
      <c r="AU393" s="25" t="str">
        <f aca="false">IFERROR(X393/(AN393*T393),"")</f>
        <v/>
      </c>
      <c r="AV393" s="25" t="str">
        <f aca="false">IFERROR(AN393*T393/3600/X393*1000,"")</f>
        <v/>
      </c>
      <c r="AW393" s="26" t="str">
        <f aca="false">IFERROR(Cost_Model!$B$21*K393*T393/3600/X393*1000000,"")</f>
        <v/>
      </c>
      <c r="AX393" s="27" t="str">
        <f aca="false">IF(ISNUMBER(Z393),IF(Z393&lt;=Run_Config!$B$31,"PASS","FAIL"),"")</f>
        <v/>
      </c>
      <c r="AY393" s="27" t="str">
        <f aca="false">IF(ISNUMBER(AH393),IF(AH393&gt;=Run_Config!$B$33,"PASS","FAIL"),"")</f>
        <v/>
      </c>
    </row>
    <row r="394" customFormat="false" ht="15" hidden="false" customHeight="false" outlineLevel="0" collapsed="false">
      <c r="AR394" s="23" t="str">
        <f aca="false">IFERROR(V394/(U394+V394)*100,"")</f>
        <v/>
      </c>
      <c r="AS394" s="24" t="str">
        <f aca="false">IFERROR(AI394/K394,"")</f>
        <v/>
      </c>
      <c r="AT394" s="24" t="str">
        <f aca="false">IFERROR(IF(AN394="","",AN394*T394/3600),"")</f>
        <v/>
      </c>
      <c r="AU394" s="25" t="str">
        <f aca="false">IFERROR(X394/(AN394*T394),"")</f>
        <v/>
      </c>
      <c r="AV394" s="25" t="str">
        <f aca="false">IFERROR(AN394*T394/3600/X394*1000,"")</f>
        <v/>
      </c>
      <c r="AW394" s="26" t="str">
        <f aca="false">IFERROR(Cost_Model!$B$21*K394*T394/3600/X394*1000000,"")</f>
        <v/>
      </c>
      <c r="AX394" s="27" t="str">
        <f aca="false">IF(ISNUMBER(Z394),IF(Z394&lt;=Run_Config!$B$31,"PASS","FAIL"),"")</f>
        <v/>
      </c>
      <c r="AY394" s="27" t="str">
        <f aca="false">IF(ISNUMBER(AH394),IF(AH394&gt;=Run_Config!$B$33,"PASS","FAIL"),"")</f>
        <v/>
      </c>
    </row>
    <row r="395" customFormat="false" ht="15" hidden="false" customHeight="false" outlineLevel="0" collapsed="false">
      <c r="AR395" s="23" t="str">
        <f aca="false">IFERROR(V395/(U395+V395)*100,"")</f>
        <v/>
      </c>
      <c r="AS395" s="24" t="str">
        <f aca="false">IFERROR(AI395/K395,"")</f>
        <v/>
      </c>
      <c r="AT395" s="24" t="str">
        <f aca="false">IFERROR(IF(AN395="","",AN395*T395/3600),"")</f>
        <v/>
      </c>
      <c r="AU395" s="25" t="str">
        <f aca="false">IFERROR(X395/(AN395*T395),"")</f>
        <v/>
      </c>
      <c r="AV395" s="25" t="str">
        <f aca="false">IFERROR(AN395*T395/3600/X395*1000,"")</f>
        <v/>
      </c>
      <c r="AW395" s="26" t="str">
        <f aca="false">IFERROR(Cost_Model!$B$21*K395*T395/3600/X395*1000000,"")</f>
        <v/>
      </c>
      <c r="AX395" s="27" t="str">
        <f aca="false">IF(ISNUMBER(Z395),IF(Z395&lt;=Run_Config!$B$31,"PASS","FAIL"),"")</f>
        <v/>
      </c>
      <c r="AY395" s="27" t="str">
        <f aca="false">IF(ISNUMBER(AH395),IF(AH395&gt;=Run_Config!$B$33,"PASS","FAIL"),"")</f>
        <v/>
      </c>
    </row>
    <row r="396" customFormat="false" ht="15" hidden="false" customHeight="false" outlineLevel="0" collapsed="false">
      <c r="AR396" s="23" t="str">
        <f aca="false">IFERROR(V396/(U396+V396)*100,"")</f>
        <v/>
      </c>
      <c r="AS396" s="24" t="str">
        <f aca="false">IFERROR(AI396/K396,"")</f>
        <v/>
      </c>
      <c r="AT396" s="24" t="str">
        <f aca="false">IFERROR(IF(AN396="","",AN396*T396/3600),"")</f>
        <v/>
      </c>
      <c r="AU396" s="25" t="str">
        <f aca="false">IFERROR(X396/(AN396*T396),"")</f>
        <v/>
      </c>
      <c r="AV396" s="25" t="str">
        <f aca="false">IFERROR(AN396*T396/3600/X396*1000,"")</f>
        <v/>
      </c>
      <c r="AW396" s="26" t="str">
        <f aca="false">IFERROR(Cost_Model!$B$21*K396*T396/3600/X396*1000000,"")</f>
        <v/>
      </c>
      <c r="AX396" s="27" t="str">
        <f aca="false">IF(ISNUMBER(Z396),IF(Z396&lt;=Run_Config!$B$31,"PASS","FAIL"),"")</f>
        <v/>
      </c>
      <c r="AY396" s="27" t="str">
        <f aca="false">IF(ISNUMBER(AH396),IF(AH396&gt;=Run_Config!$B$33,"PASS","FAIL"),"")</f>
        <v/>
      </c>
    </row>
    <row r="397" customFormat="false" ht="15" hidden="false" customHeight="false" outlineLevel="0" collapsed="false">
      <c r="AR397" s="23" t="str">
        <f aca="false">IFERROR(V397/(U397+V397)*100,"")</f>
        <v/>
      </c>
      <c r="AS397" s="24" t="str">
        <f aca="false">IFERROR(AI397/K397,"")</f>
        <v/>
      </c>
      <c r="AT397" s="24" t="str">
        <f aca="false">IFERROR(IF(AN397="","",AN397*T397/3600),"")</f>
        <v/>
      </c>
      <c r="AU397" s="25" t="str">
        <f aca="false">IFERROR(X397/(AN397*T397),"")</f>
        <v/>
      </c>
      <c r="AV397" s="25" t="str">
        <f aca="false">IFERROR(AN397*T397/3600/X397*1000,"")</f>
        <v/>
      </c>
      <c r="AW397" s="26" t="str">
        <f aca="false">IFERROR(Cost_Model!$B$21*K397*T397/3600/X397*1000000,"")</f>
        <v/>
      </c>
      <c r="AX397" s="27" t="str">
        <f aca="false">IF(ISNUMBER(Z397),IF(Z397&lt;=Run_Config!$B$31,"PASS","FAIL"),"")</f>
        <v/>
      </c>
      <c r="AY397" s="27" t="str">
        <f aca="false">IF(ISNUMBER(AH397),IF(AH397&gt;=Run_Config!$B$33,"PASS","FAIL"),"")</f>
        <v/>
      </c>
    </row>
    <row r="398" customFormat="false" ht="15" hidden="false" customHeight="false" outlineLevel="0" collapsed="false">
      <c r="AR398" s="23" t="str">
        <f aca="false">IFERROR(V398/(U398+V398)*100,"")</f>
        <v/>
      </c>
      <c r="AS398" s="24" t="str">
        <f aca="false">IFERROR(AI398/K398,"")</f>
        <v/>
      </c>
      <c r="AT398" s="24" t="str">
        <f aca="false">IFERROR(IF(AN398="","",AN398*T398/3600),"")</f>
        <v/>
      </c>
      <c r="AU398" s="25" t="str">
        <f aca="false">IFERROR(X398/(AN398*T398),"")</f>
        <v/>
      </c>
      <c r="AV398" s="25" t="str">
        <f aca="false">IFERROR(AN398*T398/3600/X398*1000,"")</f>
        <v/>
      </c>
      <c r="AW398" s="26" t="str">
        <f aca="false">IFERROR(Cost_Model!$B$21*K398*T398/3600/X398*1000000,"")</f>
        <v/>
      </c>
      <c r="AX398" s="27" t="str">
        <f aca="false">IF(ISNUMBER(Z398),IF(Z398&lt;=Run_Config!$B$31,"PASS","FAIL"),"")</f>
        <v/>
      </c>
      <c r="AY398" s="27" t="str">
        <f aca="false">IF(ISNUMBER(AH398),IF(AH398&gt;=Run_Config!$B$33,"PASS","FAIL"),"")</f>
        <v/>
      </c>
    </row>
    <row r="399" customFormat="false" ht="15" hidden="false" customHeight="false" outlineLevel="0" collapsed="false">
      <c r="AR399" s="23" t="str">
        <f aca="false">IFERROR(V399/(U399+V399)*100,"")</f>
        <v/>
      </c>
      <c r="AS399" s="24" t="str">
        <f aca="false">IFERROR(AI399/K399,"")</f>
        <v/>
      </c>
      <c r="AT399" s="24" t="str">
        <f aca="false">IFERROR(IF(AN399="","",AN399*T399/3600),"")</f>
        <v/>
      </c>
      <c r="AU399" s="25" t="str">
        <f aca="false">IFERROR(X399/(AN399*T399),"")</f>
        <v/>
      </c>
      <c r="AV399" s="25" t="str">
        <f aca="false">IFERROR(AN399*T399/3600/X399*1000,"")</f>
        <v/>
      </c>
      <c r="AW399" s="26" t="str">
        <f aca="false">IFERROR(Cost_Model!$B$21*K399*T399/3600/X399*1000000,"")</f>
        <v/>
      </c>
      <c r="AX399" s="27" t="str">
        <f aca="false">IF(ISNUMBER(Z399),IF(Z399&lt;=Run_Config!$B$31,"PASS","FAIL"),"")</f>
        <v/>
      </c>
      <c r="AY399" s="27" t="str">
        <f aca="false">IF(ISNUMBER(AH399),IF(AH399&gt;=Run_Config!$B$33,"PASS","FAIL"),"")</f>
        <v/>
      </c>
    </row>
    <row r="400" customFormat="false" ht="15" hidden="false" customHeight="false" outlineLevel="0" collapsed="false">
      <c r="AR400" s="23" t="str">
        <f aca="false">IFERROR(V400/(U400+V400)*100,"")</f>
        <v/>
      </c>
      <c r="AS400" s="24" t="str">
        <f aca="false">IFERROR(AI400/K400,"")</f>
        <v/>
      </c>
      <c r="AT400" s="24" t="str">
        <f aca="false">IFERROR(IF(AN400="","",AN400*T400/3600),"")</f>
        <v/>
      </c>
      <c r="AU400" s="25" t="str">
        <f aca="false">IFERROR(X400/(AN400*T400),"")</f>
        <v/>
      </c>
      <c r="AV400" s="25" t="str">
        <f aca="false">IFERROR(AN400*T400/3600/X400*1000,"")</f>
        <v/>
      </c>
      <c r="AW400" s="26" t="str">
        <f aca="false">IFERROR(Cost_Model!$B$21*K400*T400/3600/X400*1000000,"")</f>
        <v/>
      </c>
      <c r="AX400" s="27" t="str">
        <f aca="false">IF(ISNUMBER(Z400),IF(Z400&lt;=Run_Config!$B$31,"PASS","FAIL"),"")</f>
        <v/>
      </c>
      <c r="AY400" s="27" t="str">
        <f aca="false">IF(ISNUMBER(AH400),IF(AH400&gt;=Run_Config!$B$33,"PASS","FAIL"),"")</f>
        <v/>
      </c>
    </row>
  </sheetData>
  <autoFilter ref="A1:AZ400"/>
  <dataValidations count="3">
    <dataValidation allowBlank="true" errorStyle="stop" operator="between" showDropDown="false" showErrorMessage="false" showInputMessage="false" sqref="D3:D400" type="list">
      <formula1>"BF16,FP16,FP8,INT8-SQ,INT4-AWQ,INT4-GPTQ,MXFP4,NF4"</formula1>
      <formula2>0</formula2>
    </dataValidation>
    <dataValidation allowBlank="true" errorStyle="stop" operator="between" showDropDown="false" showErrorMessage="false" showInputMessage="false" sqref="F3:F400" type="list">
      <formula1>"vLLM,TensorRT-LLM,SGLang,NVIDIA-NIM,HF-TGI,llama.cpp,Ollama"</formula1>
      <formula2>0</formula2>
    </dataValidation>
    <dataValidation allowBlank="true" errorStyle="stop" operator="between" showDropDown="false" showErrorMessage="false" showInputMessage="false" sqref="M3:M400" type="list">
      <formula1>"on,off"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32" min="4" style="0" width="16"/>
    <col collapsed="false" customWidth="true" hidden="false" outlineLevel="0" max="33" min="33" style="0" width="60"/>
  </cols>
  <sheetData>
    <row r="1" customFormat="false" ht="33.75" hidden="false" customHeight="true" outlineLevel="0" collapsed="false">
      <c r="A1" s="7" t="s">
        <v>730</v>
      </c>
      <c r="B1" s="7" t="s">
        <v>691</v>
      </c>
      <c r="C1" s="7" t="s">
        <v>65</v>
      </c>
      <c r="D1" s="7" t="s">
        <v>92</v>
      </c>
      <c r="E1" s="7" t="s">
        <v>101</v>
      </c>
      <c r="F1" s="7" t="s">
        <v>758</v>
      </c>
      <c r="G1" s="7" t="s">
        <v>759</v>
      </c>
      <c r="H1" s="7" t="s">
        <v>760</v>
      </c>
      <c r="I1" s="7" t="s">
        <v>302</v>
      </c>
      <c r="J1" s="7" t="s">
        <v>761</v>
      </c>
      <c r="K1" s="7" t="s">
        <v>762</v>
      </c>
      <c r="L1" s="7" t="s">
        <v>763</v>
      </c>
      <c r="M1" s="7" t="s">
        <v>490</v>
      </c>
      <c r="N1" s="7" t="s">
        <v>764</v>
      </c>
      <c r="O1" s="7" t="s">
        <v>330</v>
      </c>
      <c r="P1" s="7" t="s">
        <v>765</v>
      </c>
      <c r="Q1" s="7" t="s">
        <v>272</v>
      </c>
      <c r="R1" s="7" t="s">
        <v>766</v>
      </c>
      <c r="S1" s="7" t="s">
        <v>767</v>
      </c>
      <c r="T1" s="7" t="s">
        <v>768</v>
      </c>
      <c r="U1" s="7" t="s">
        <v>282</v>
      </c>
      <c r="V1" s="7" t="s">
        <v>286</v>
      </c>
      <c r="W1" s="7" t="s">
        <v>290</v>
      </c>
      <c r="X1" s="7" t="s">
        <v>294</v>
      </c>
      <c r="Y1" s="7" t="s">
        <v>298</v>
      </c>
      <c r="Z1" s="7" t="s">
        <v>321</v>
      </c>
      <c r="AA1" s="7" t="s">
        <v>769</v>
      </c>
      <c r="AB1" s="7" t="s">
        <v>317</v>
      </c>
      <c r="AC1" s="7" t="s">
        <v>770</v>
      </c>
      <c r="AD1" s="7" t="s">
        <v>771</v>
      </c>
      <c r="AE1" s="7" t="s">
        <v>772</v>
      </c>
      <c r="AF1" s="7" t="s">
        <v>314</v>
      </c>
      <c r="AG1" s="7" t="s">
        <v>453</v>
      </c>
    </row>
    <row r="2" customFormat="false" ht="15" hidden="false" customHeight="false" outlineLevel="0" collapsed="false">
      <c r="A2" s="22" t="s">
        <v>773</v>
      </c>
      <c r="B2" s="22" t="s">
        <v>774</v>
      </c>
      <c r="C2" s="22" t="s">
        <v>749</v>
      </c>
      <c r="D2" s="22" t="s">
        <v>610</v>
      </c>
      <c r="E2" s="22" t="s">
        <v>752</v>
      </c>
      <c r="F2" s="22" t="s">
        <v>775</v>
      </c>
      <c r="G2" s="22" t="s">
        <v>776</v>
      </c>
      <c r="H2" s="22" t="s">
        <v>777</v>
      </c>
      <c r="I2" s="22" t="s">
        <v>778</v>
      </c>
      <c r="J2" s="22" t="n">
        <v>1000</v>
      </c>
      <c r="K2" s="22" t="n">
        <v>5</v>
      </c>
      <c r="L2" s="22" t="n">
        <v>0</v>
      </c>
      <c r="M2" s="22" t="n">
        <v>1</v>
      </c>
      <c r="N2" s="22" t="n">
        <v>1024</v>
      </c>
      <c r="O2" s="22" t="n">
        <v>42</v>
      </c>
      <c r="P2" s="22" t="s">
        <v>779</v>
      </c>
      <c r="Q2" s="22" t="n">
        <v>0.712</v>
      </c>
      <c r="R2" s="22" t="n">
        <v>0.453</v>
      </c>
      <c r="S2" s="22" t="n">
        <v>0.701</v>
      </c>
      <c r="T2" s="22" t="n">
        <v>0.722</v>
      </c>
      <c r="U2" s="22"/>
      <c r="V2" s="22" t="n">
        <v>94.2</v>
      </c>
      <c r="W2" s="22" t="n">
        <v>99.1</v>
      </c>
      <c r="X2" s="22" t="n">
        <v>0.4</v>
      </c>
      <c r="Y2" s="22" t="n">
        <v>6.8</v>
      </c>
      <c r="Z2" s="22" t="n">
        <v>214</v>
      </c>
      <c r="AA2" s="22" t="n">
        <v>4.9</v>
      </c>
      <c r="AB2" s="22" t="s">
        <v>780</v>
      </c>
      <c r="AC2" s="22" t="s">
        <v>781</v>
      </c>
      <c r="AD2" s="25" t="n">
        <f aca="false">IFERROR(1.96*R2/SQRT(J2*K2),"")</f>
        <v>0.0125565193775982</v>
      </c>
      <c r="AE2" s="25" t="n">
        <f aca="false">IFERROR(AVERAGEIFS(Q$2:Q$300,C$2:C$300,C2,G$2:G$300,G2,D$2:D$300,"BF16"),"")</f>
        <v>0.712</v>
      </c>
      <c r="AF2" s="28" t="n">
        <f aca="false">IFERROR((Q2-AE2)/AE2*100,"")</f>
        <v>0</v>
      </c>
      <c r="AG2" s="22" t="s">
        <v>782</v>
      </c>
    </row>
    <row r="3" customFormat="false" ht="15" hidden="false" customHeight="false" outlineLevel="0" collapsed="false">
      <c r="AD3" s="25" t="str">
        <f aca="false">IFERROR(1.96*R3/SQRT(J3*K3),"")</f>
        <v/>
      </c>
      <c r="AE3" s="25" t="str">
        <f aca="false">IFERROR(AVERAGEIFS(Q$2:Q$300,C$2:C$300,C3,G$2:G$300,G3,D$2:D$300,"BF16"),"")</f>
        <v/>
      </c>
      <c r="AF3" s="28" t="str">
        <f aca="false">IFERROR((Q3-AE3)/AE3*100,"")</f>
        <v/>
      </c>
    </row>
    <row r="4" customFormat="false" ht="15" hidden="false" customHeight="false" outlineLevel="0" collapsed="false">
      <c r="AD4" s="25" t="str">
        <f aca="false">IFERROR(1.96*R4/SQRT(J4*K4),"")</f>
        <v/>
      </c>
      <c r="AE4" s="25" t="str">
        <f aca="false">IFERROR(AVERAGEIFS(Q$2:Q$300,C$2:C$300,C4,G$2:G$300,G4,D$2:D$300,"BF16"),"")</f>
        <v/>
      </c>
      <c r="AF4" s="28" t="str">
        <f aca="false">IFERROR((Q4-AE4)/AE4*100,"")</f>
        <v/>
      </c>
    </row>
    <row r="5" customFormat="false" ht="15" hidden="false" customHeight="false" outlineLevel="0" collapsed="false">
      <c r="AD5" s="25" t="str">
        <f aca="false">IFERROR(1.96*R5/SQRT(J5*K5),"")</f>
        <v/>
      </c>
      <c r="AE5" s="25" t="str">
        <f aca="false">IFERROR(AVERAGEIFS(Q$2:Q$300,C$2:C$300,C5,G$2:G$300,G5,D$2:D$300,"BF16"),"")</f>
        <v/>
      </c>
      <c r="AF5" s="28" t="str">
        <f aca="false">IFERROR((Q5-AE5)/AE5*100,"")</f>
        <v/>
      </c>
    </row>
    <row r="6" customFormat="false" ht="15" hidden="false" customHeight="false" outlineLevel="0" collapsed="false">
      <c r="AD6" s="25" t="str">
        <f aca="false">IFERROR(1.96*R6/SQRT(J6*K6),"")</f>
        <v/>
      </c>
      <c r="AE6" s="25" t="str">
        <f aca="false">IFERROR(AVERAGEIFS(Q$2:Q$300,C$2:C$300,C6,G$2:G$300,G6,D$2:D$300,"BF16"),"")</f>
        <v/>
      </c>
      <c r="AF6" s="28" t="str">
        <f aca="false">IFERROR((Q6-AE6)/AE6*100,"")</f>
        <v/>
      </c>
    </row>
    <row r="7" customFormat="false" ht="15" hidden="false" customHeight="false" outlineLevel="0" collapsed="false">
      <c r="AD7" s="25" t="str">
        <f aca="false">IFERROR(1.96*R7/SQRT(J7*K7),"")</f>
        <v/>
      </c>
      <c r="AE7" s="25" t="str">
        <f aca="false">IFERROR(AVERAGEIFS(Q$2:Q$300,C$2:C$300,C7,G$2:G$300,G7,D$2:D$300,"BF16"),"")</f>
        <v/>
      </c>
      <c r="AF7" s="28" t="str">
        <f aca="false">IFERROR((Q7-AE7)/AE7*100,"")</f>
        <v/>
      </c>
    </row>
    <row r="8" customFormat="false" ht="15" hidden="false" customHeight="false" outlineLevel="0" collapsed="false">
      <c r="AD8" s="25" t="str">
        <f aca="false">IFERROR(1.96*R8/SQRT(J8*K8),"")</f>
        <v/>
      </c>
      <c r="AE8" s="25" t="str">
        <f aca="false">IFERROR(AVERAGEIFS(Q$2:Q$300,C$2:C$300,C8,G$2:G$300,G8,D$2:D$300,"BF16"),"")</f>
        <v/>
      </c>
      <c r="AF8" s="28" t="str">
        <f aca="false">IFERROR((Q8-AE8)/AE8*100,"")</f>
        <v/>
      </c>
    </row>
    <row r="9" customFormat="false" ht="15" hidden="false" customHeight="false" outlineLevel="0" collapsed="false">
      <c r="AD9" s="25" t="str">
        <f aca="false">IFERROR(1.96*R9/SQRT(J9*K9),"")</f>
        <v/>
      </c>
      <c r="AE9" s="25" t="str">
        <f aca="false">IFERROR(AVERAGEIFS(Q$2:Q$300,C$2:C$300,C9,G$2:G$300,G9,D$2:D$300,"BF16"),"")</f>
        <v/>
      </c>
      <c r="AF9" s="28" t="str">
        <f aca="false">IFERROR((Q9-AE9)/AE9*100,"")</f>
        <v/>
      </c>
    </row>
    <row r="10" customFormat="false" ht="15" hidden="false" customHeight="false" outlineLevel="0" collapsed="false">
      <c r="AD10" s="25" t="str">
        <f aca="false">IFERROR(1.96*R10/SQRT(J10*K10),"")</f>
        <v/>
      </c>
      <c r="AE10" s="25" t="str">
        <f aca="false">IFERROR(AVERAGEIFS(Q$2:Q$300,C$2:C$300,C10,G$2:G$300,G10,D$2:D$300,"BF16"),"")</f>
        <v/>
      </c>
      <c r="AF10" s="28" t="str">
        <f aca="false">IFERROR((Q10-AE10)/AE10*100,"")</f>
        <v/>
      </c>
    </row>
    <row r="11" customFormat="false" ht="15" hidden="false" customHeight="false" outlineLevel="0" collapsed="false">
      <c r="AD11" s="25" t="str">
        <f aca="false">IFERROR(1.96*R11/SQRT(J11*K11),"")</f>
        <v/>
      </c>
      <c r="AE11" s="25" t="str">
        <f aca="false">IFERROR(AVERAGEIFS(Q$2:Q$300,C$2:C$300,C11,G$2:G$300,G11,D$2:D$300,"BF16"),"")</f>
        <v/>
      </c>
      <c r="AF11" s="28" t="str">
        <f aca="false">IFERROR((Q11-AE11)/AE11*100,"")</f>
        <v/>
      </c>
    </row>
    <row r="12" customFormat="false" ht="15" hidden="false" customHeight="false" outlineLevel="0" collapsed="false">
      <c r="AD12" s="25" t="str">
        <f aca="false">IFERROR(1.96*R12/SQRT(J12*K12),"")</f>
        <v/>
      </c>
      <c r="AE12" s="25" t="str">
        <f aca="false">IFERROR(AVERAGEIFS(Q$2:Q$300,C$2:C$300,C12,G$2:G$300,G12,D$2:D$300,"BF16"),"")</f>
        <v/>
      </c>
      <c r="AF12" s="28" t="str">
        <f aca="false">IFERROR((Q12-AE12)/AE12*100,"")</f>
        <v/>
      </c>
    </row>
    <row r="13" customFormat="false" ht="15" hidden="false" customHeight="false" outlineLevel="0" collapsed="false">
      <c r="AD13" s="25" t="str">
        <f aca="false">IFERROR(1.96*R13/SQRT(J13*K13),"")</f>
        <v/>
      </c>
      <c r="AE13" s="25" t="str">
        <f aca="false">IFERROR(AVERAGEIFS(Q$2:Q$300,C$2:C$300,C13,G$2:G$300,G13,D$2:D$300,"BF16"),"")</f>
        <v/>
      </c>
      <c r="AF13" s="28" t="str">
        <f aca="false">IFERROR((Q13-AE13)/AE13*100,"")</f>
        <v/>
      </c>
    </row>
    <row r="14" customFormat="false" ht="15" hidden="false" customHeight="false" outlineLevel="0" collapsed="false">
      <c r="AD14" s="25" t="str">
        <f aca="false">IFERROR(1.96*R14/SQRT(J14*K14),"")</f>
        <v/>
      </c>
      <c r="AE14" s="25" t="str">
        <f aca="false">IFERROR(AVERAGEIFS(Q$2:Q$300,C$2:C$300,C14,G$2:G$300,G14,D$2:D$300,"BF16"),"")</f>
        <v/>
      </c>
      <c r="AF14" s="28" t="str">
        <f aca="false">IFERROR((Q14-AE14)/AE14*100,"")</f>
        <v/>
      </c>
    </row>
    <row r="15" customFormat="false" ht="15" hidden="false" customHeight="false" outlineLevel="0" collapsed="false">
      <c r="AD15" s="25" t="str">
        <f aca="false">IFERROR(1.96*R15/SQRT(J15*K15),"")</f>
        <v/>
      </c>
      <c r="AE15" s="25" t="str">
        <f aca="false">IFERROR(AVERAGEIFS(Q$2:Q$300,C$2:C$300,C15,G$2:G$300,G15,D$2:D$300,"BF16"),"")</f>
        <v/>
      </c>
      <c r="AF15" s="28" t="str">
        <f aca="false">IFERROR((Q15-AE15)/AE15*100,"")</f>
        <v/>
      </c>
    </row>
    <row r="16" customFormat="false" ht="15" hidden="false" customHeight="false" outlineLevel="0" collapsed="false">
      <c r="AD16" s="25" t="str">
        <f aca="false">IFERROR(1.96*R16/SQRT(J16*K16),"")</f>
        <v/>
      </c>
      <c r="AE16" s="25" t="str">
        <f aca="false">IFERROR(AVERAGEIFS(Q$2:Q$300,C$2:C$300,C16,G$2:G$300,G16,D$2:D$300,"BF16"),"")</f>
        <v/>
      </c>
      <c r="AF16" s="28" t="str">
        <f aca="false">IFERROR((Q16-AE16)/AE16*100,"")</f>
        <v/>
      </c>
    </row>
    <row r="17" customFormat="false" ht="15" hidden="false" customHeight="false" outlineLevel="0" collapsed="false">
      <c r="AD17" s="25" t="str">
        <f aca="false">IFERROR(1.96*R17/SQRT(J17*K17),"")</f>
        <v/>
      </c>
      <c r="AE17" s="25" t="str">
        <f aca="false">IFERROR(AVERAGEIFS(Q$2:Q$300,C$2:C$300,C17,G$2:G$300,G17,D$2:D$300,"BF16"),"")</f>
        <v/>
      </c>
      <c r="AF17" s="28" t="str">
        <f aca="false">IFERROR((Q17-AE17)/AE17*100,"")</f>
        <v/>
      </c>
    </row>
    <row r="18" customFormat="false" ht="15" hidden="false" customHeight="false" outlineLevel="0" collapsed="false">
      <c r="AD18" s="25" t="str">
        <f aca="false">IFERROR(1.96*R18/SQRT(J18*K18),"")</f>
        <v/>
      </c>
      <c r="AE18" s="25" t="str">
        <f aca="false">IFERROR(AVERAGEIFS(Q$2:Q$300,C$2:C$300,C18,G$2:G$300,G18,D$2:D$300,"BF16"),"")</f>
        <v/>
      </c>
      <c r="AF18" s="28" t="str">
        <f aca="false">IFERROR((Q18-AE18)/AE18*100,"")</f>
        <v/>
      </c>
    </row>
    <row r="19" customFormat="false" ht="15" hidden="false" customHeight="false" outlineLevel="0" collapsed="false">
      <c r="AD19" s="25" t="str">
        <f aca="false">IFERROR(1.96*R19/SQRT(J19*K19),"")</f>
        <v/>
      </c>
      <c r="AE19" s="25" t="str">
        <f aca="false">IFERROR(AVERAGEIFS(Q$2:Q$300,C$2:C$300,C19,G$2:G$300,G19,D$2:D$300,"BF16"),"")</f>
        <v/>
      </c>
      <c r="AF19" s="28" t="str">
        <f aca="false">IFERROR((Q19-AE19)/AE19*100,"")</f>
        <v/>
      </c>
    </row>
    <row r="20" customFormat="false" ht="15" hidden="false" customHeight="false" outlineLevel="0" collapsed="false">
      <c r="AD20" s="25" t="str">
        <f aca="false">IFERROR(1.96*R20/SQRT(J20*K20),"")</f>
        <v/>
      </c>
      <c r="AE20" s="25" t="str">
        <f aca="false">IFERROR(AVERAGEIFS(Q$2:Q$300,C$2:C$300,C20,G$2:G$300,G20,D$2:D$300,"BF16"),"")</f>
        <v/>
      </c>
      <c r="AF20" s="28" t="str">
        <f aca="false">IFERROR((Q20-AE20)/AE20*100,"")</f>
        <v/>
      </c>
    </row>
    <row r="21" customFormat="false" ht="15" hidden="false" customHeight="false" outlineLevel="0" collapsed="false">
      <c r="AD21" s="25" t="str">
        <f aca="false">IFERROR(1.96*R21/SQRT(J21*K21),"")</f>
        <v/>
      </c>
      <c r="AE21" s="25" t="str">
        <f aca="false">IFERROR(AVERAGEIFS(Q$2:Q$300,C$2:C$300,C21,G$2:G$300,G21,D$2:D$300,"BF16"),"")</f>
        <v/>
      </c>
      <c r="AF21" s="28" t="str">
        <f aca="false">IFERROR((Q21-AE21)/AE21*100,"")</f>
        <v/>
      </c>
    </row>
    <row r="22" customFormat="false" ht="15" hidden="false" customHeight="false" outlineLevel="0" collapsed="false">
      <c r="AD22" s="25" t="str">
        <f aca="false">IFERROR(1.96*R22/SQRT(J22*K22),"")</f>
        <v/>
      </c>
      <c r="AE22" s="25" t="str">
        <f aca="false">IFERROR(AVERAGEIFS(Q$2:Q$300,C$2:C$300,C22,G$2:G$300,G22,D$2:D$300,"BF16"),"")</f>
        <v/>
      </c>
      <c r="AF22" s="28" t="str">
        <f aca="false">IFERROR((Q22-AE22)/AE22*100,"")</f>
        <v/>
      </c>
    </row>
    <row r="23" customFormat="false" ht="15" hidden="false" customHeight="false" outlineLevel="0" collapsed="false">
      <c r="AD23" s="25" t="str">
        <f aca="false">IFERROR(1.96*R23/SQRT(J23*K23),"")</f>
        <v/>
      </c>
      <c r="AE23" s="25" t="str">
        <f aca="false">IFERROR(AVERAGEIFS(Q$2:Q$300,C$2:C$300,C23,G$2:G$300,G23,D$2:D$300,"BF16"),"")</f>
        <v/>
      </c>
      <c r="AF23" s="28" t="str">
        <f aca="false">IFERROR((Q23-AE23)/AE23*100,"")</f>
        <v/>
      </c>
    </row>
    <row r="24" customFormat="false" ht="15" hidden="false" customHeight="false" outlineLevel="0" collapsed="false">
      <c r="AD24" s="25" t="str">
        <f aca="false">IFERROR(1.96*R24/SQRT(J24*K24),"")</f>
        <v/>
      </c>
      <c r="AE24" s="25" t="str">
        <f aca="false">IFERROR(AVERAGEIFS(Q$2:Q$300,C$2:C$300,C24,G$2:G$300,G24,D$2:D$300,"BF16"),"")</f>
        <v/>
      </c>
      <c r="AF24" s="28" t="str">
        <f aca="false">IFERROR((Q24-AE24)/AE24*100,"")</f>
        <v/>
      </c>
    </row>
    <row r="25" customFormat="false" ht="15" hidden="false" customHeight="false" outlineLevel="0" collapsed="false">
      <c r="AD25" s="25" t="str">
        <f aca="false">IFERROR(1.96*R25/SQRT(J25*K25),"")</f>
        <v/>
      </c>
      <c r="AE25" s="25" t="str">
        <f aca="false">IFERROR(AVERAGEIFS(Q$2:Q$300,C$2:C$300,C25,G$2:G$300,G25,D$2:D$300,"BF16"),"")</f>
        <v/>
      </c>
      <c r="AF25" s="28" t="str">
        <f aca="false">IFERROR((Q25-AE25)/AE25*100,"")</f>
        <v/>
      </c>
    </row>
    <row r="26" customFormat="false" ht="15" hidden="false" customHeight="false" outlineLevel="0" collapsed="false">
      <c r="AD26" s="25" t="str">
        <f aca="false">IFERROR(1.96*R26/SQRT(J26*K26),"")</f>
        <v/>
      </c>
      <c r="AE26" s="25" t="str">
        <f aca="false">IFERROR(AVERAGEIFS(Q$2:Q$300,C$2:C$300,C26,G$2:G$300,G26,D$2:D$300,"BF16"),"")</f>
        <v/>
      </c>
      <c r="AF26" s="28" t="str">
        <f aca="false">IFERROR((Q26-AE26)/AE26*100,"")</f>
        <v/>
      </c>
    </row>
    <row r="27" customFormat="false" ht="15" hidden="false" customHeight="false" outlineLevel="0" collapsed="false">
      <c r="AD27" s="25" t="str">
        <f aca="false">IFERROR(1.96*R27/SQRT(J27*K27),"")</f>
        <v/>
      </c>
      <c r="AE27" s="25" t="str">
        <f aca="false">IFERROR(AVERAGEIFS(Q$2:Q$300,C$2:C$300,C27,G$2:G$300,G27,D$2:D$300,"BF16"),"")</f>
        <v/>
      </c>
      <c r="AF27" s="28" t="str">
        <f aca="false">IFERROR((Q27-AE27)/AE27*100,"")</f>
        <v/>
      </c>
    </row>
    <row r="28" customFormat="false" ht="15" hidden="false" customHeight="false" outlineLevel="0" collapsed="false">
      <c r="AD28" s="25" t="str">
        <f aca="false">IFERROR(1.96*R28/SQRT(J28*K28),"")</f>
        <v/>
      </c>
      <c r="AE28" s="25" t="str">
        <f aca="false">IFERROR(AVERAGEIFS(Q$2:Q$300,C$2:C$300,C28,G$2:G$300,G28,D$2:D$300,"BF16"),"")</f>
        <v/>
      </c>
      <c r="AF28" s="28" t="str">
        <f aca="false">IFERROR((Q28-AE28)/AE28*100,"")</f>
        <v/>
      </c>
    </row>
    <row r="29" customFormat="false" ht="15" hidden="false" customHeight="false" outlineLevel="0" collapsed="false">
      <c r="AD29" s="25" t="str">
        <f aca="false">IFERROR(1.96*R29/SQRT(J29*K29),"")</f>
        <v/>
      </c>
      <c r="AE29" s="25" t="str">
        <f aca="false">IFERROR(AVERAGEIFS(Q$2:Q$300,C$2:C$300,C29,G$2:G$300,G29,D$2:D$300,"BF16"),"")</f>
        <v/>
      </c>
      <c r="AF29" s="28" t="str">
        <f aca="false">IFERROR((Q29-AE29)/AE29*100,"")</f>
        <v/>
      </c>
    </row>
    <row r="30" customFormat="false" ht="15" hidden="false" customHeight="false" outlineLevel="0" collapsed="false">
      <c r="AD30" s="25" t="str">
        <f aca="false">IFERROR(1.96*R30/SQRT(J30*K30),"")</f>
        <v/>
      </c>
      <c r="AE30" s="25" t="str">
        <f aca="false">IFERROR(AVERAGEIFS(Q$2:Q$300,C$2:C$300,C30,G$2:G$300,G30,D$2:D$300,"BF16"),"")</f>
        <v/>
      </c>
      <c r="AF30" s="28" t="str">
        <f aca="false">IFERROR((Q30-AE30)/AE30*100,"")</f>
        <v/>
      </c>
    </row>
    <row r="31" customFormat="false" ht="15" hidden="false" customHeight="false" outlineLevel="0" collapsed="false">
      <c r="AD31" s="25" t="str">
        <f aca="false">IFERROR(1.96*R31/SQRT(J31*K31),"")</f>
        <v/>
      </c>
      <c r="AE31" s="25" t="str">
        <f aca="false">IFERROR(AVERAGEIFS(Q$2:Q$300,C$2:C$300,C31,G$2:G$300,G31,D$2:D$300,"BF16"),"")</f>
        <v/>
      </c>
      <c r="AF31" s="28" t="str">
        <f aca="false">IFERROR((Q31-AE31)/AE31*100,"")</f>
        <v/>
      </c>
    </row>
    <row r="32" customFormat="false" ht="15" hidden="false" customHeight="false" outlineLevel="0" collapsed="false">
      <c r="AD32" s="25" t="str">
        <f aca="false">IFERROR(1.96*R32/SQRT(J32*K32),"")</f>
        <v/>
      </c>
      <c r="AE32" s="25" t="str">
        <f aca="false">IFERROR(AVERAGEIFS(Q$2:Q$300,C$2:C$300,C32,G$2:G$300,G32,D$2:D$300,"BF16"),"")</f>
        <v/>
      </c>
      <c r="AF32" s="28" t="str">
        <f aca="false">IFERROR((Q32-AE32)/AE32*100,"")</f>
        <v/>
      </c>
    </row>
    <row r="33" customFormat="false" ht="15" hidden="false" customHeight="false" outlineLevel="0" collapsed="false">
      <c r="AD33" s="25" t="str">
        <f aca="false">IFERROR(1.96*R33/SQRT(J33*K33),"")</f>
        <v/>
      </c>
      <c r="AE33" s="25" t="str">
        <f aca="false">IFERROR(AVERAGEIFS(Q$2:Q$300,C$2:C$300,C33,G$2:G$300,G33,D$2:D$300,"BF16"),"")</f>
        <v/>
      </c>
      <c r="AF33" s="28" t="str">
        <f aca="false">IFERROR((Q33-AE33)/AE33*100,"")</f>
        <v/>
      </c>
    </row>
    <row r="34" customFormat="false" ht="15" hidden="false" customHeight="false" outlineLevel="0" collapsed="false">
      <c r="AD34" s="25" t="str">
        <f aca="false">IFERROR(1.96*R34/SQRT(J34*K34),"")</f>
        <v/>
      </c>
      <c r="AE34" s="25" t="str">
        <f aca="false">IFERROR(AVERAGEIFS(Q$2:Q$300,C$2:C$300,C34,G$2:G$300,G34,D$2:D$300,"BF16"),"")</f>
        <v/>
      </c>
      <c r="AF34" s="28" t="str">
        <f aca="false">IFERROR((Q34-AE34)/AE34*100,"")</f>
        <v/>
      </c>
    </row>
    <row r="35" customFormat="false" ht="15" hidden="false" customHeight="false" outlineLevel="0" collapsed="false">
      <c r="AD35" s="25" t="str">
        <f aca="false">IFERROR(1.96*R35/SQRT(J35*K35),"")</f>
        <v/>
      </c>
      <c r="AE35" s="25" t="str">
        <f aca="false">IFERROR(AVERAGEIFS(Q$2:Q$300,C$2:C$300,C35,G$2:G$300,G35,D$2:D$300,"BF16"),"")</f>
        <v/>
      </c>
      <c r="AF35" s="28" t="str">
        <f aca="false">IFERROR((Q35-AE35)/AE35*100,"")</f>
        <v/>
      </c>
    </row>
    <row r="36" customFormat="false" ht="15" hidden="false" customHeight="false" outlineLevel="0" collapsed="false">
      <c r="AD36" s="25" t="str">
        <f aca="false">IFERROR(1.96*R36/SQRT(J36*K36),"")</f>
        <v/>
      </c>
      <c r="AE36" s="25" t="str">
        <f aca="false">IFERROR(AVERAGEIFS(Q$2:Q$300,C$2:C$300,C36,G$2:G$300,G36,D$2:D$300,"BF16"),"")</f>
        <v/>
      </c>
      <c r="AF36" s="28" t="str">
        <f aca="false">IFERROR((Q36-AE36)/AE36*100,"")</f>
        <v/>
      </c>
    </row>
    <row r="37" customFormat="false" ht="15" hidden="false" customHeight="false" outlineLevel="0" collapsed="false">
      <c r="AD37" s="25" t="str">
        <f aca="false">IFERROR(1.96*R37/SQRT(J37*K37),"")</f>
        <v/>
      </c>
      <c r="AE37" s="25" t="str">
        <f aca="false">IFERROR(AVERAGEIFS(Q$2:Q$300,C$2:C$300,C37,G$2:G$300,G37,D$2:D$300,"BF16"),"")</f>
        <v/>
      </c>
      <c r="AF37" s="28" t="str">
        <f aca="false">IFERROR((Q37-AE37)/AE37*100,"")</f>
        <v/>
      </c>
    </row>
    <row r="38" customFormat="false" ht="15" hidden="false" customHeight="false" outlineLevel="0" collapsed="false">
      <c r="AD38" s="25" t="str">
        <f aca="false">IFERROR(1.96*R38/SQRT(J38*K38),"")</f>
        <v/>
      </c>
      <c r="AE38" s="25" t="str">
        <f aca="false">IFERROR(AVERAGEIFS(Q$2:Q$300,C$2:C$300,C38,G$2:G$300,G38,D$2:D$300,"BF16"),"")</f>
        <v/>
      </c>
      <c r="AF38" s="28" t="str">
        <f aca="false">IFERROR((Q38-AE38)/AE38*100,"")</f>
        <v/>
      </c>
    </row>
    <row r="39" customFormat="false" ht="15" hidden="false" customHeight="false" outlineLevel="0" collapsed="false">
      <c r="AD39" s="25" t="str">
        <f aca="false">IFERROR(1.96*R39/SQRT(J39*K39),"")</f>
        <v/>
      </c>
      <c r="AE39" s="25" t="str">
        <f aca="false">IFERROR(AVERAGEIFS(Q$2:Q$300,C$2:C$300,C39,G$2:G$300,G39,D$2:D$300,"BF16"),"")</f>
        <v/>
      </c>
      <c r="AF39" s="28" t="str">
        <f aca="false">IFERROR((Q39-AE39)/AE39*100,"")</f>
        <v/>
      </c>
    </row>
    <row r="40" customFormat="false" ht="15" hidden="false" customHeight="false" outlineLevel="0" collapsed="false">
      <c r="AD40" s="25" t="str">
        <f aca="false">IFERROR(1.96*R40/SQRT(J40*K40),"")</f>
        <v/>
      </c>
      <c r="AE40" s="25" t="str">
        <f aca="false">IFERROR(AVERAGEIFS(Q$2:Q$300,C$2:C$300,C40,G$2:G$300,G40,D$2:D$300,"BF16"),"")</f>
        <v/>
      </c>
      <c r="AF40" s="28" t="str">
        <f aca="false">IFERROR((Q40-AE40)/AE40*100,"")</f>
        <v/>
      </c>
    </row>
    <row r="41" customFormat="false" ht="15" hidden="false" customHeight="false" outlineLevel="0" collapsed="false">
      <c r="AD41" s="25" t="str">
        <f aca="false">IFERROR(1.96*R41/SQRT(J41*K41),"")</f>
        <v/>
      </c>
      <c r="AE41" s="25" t="str">
        <f aca="false">IFERROR(AVERAGEIFS(Q$2:Q$300,C$2:C$300,C41,G$2:G$300,G41,D$2:D$300,"BF16"),"")</f>
        <v/>
      </c>
      <c r="AF41" s="28" t="str">
        <f aca="false">IFERROR((Q41-AE41)/AE41*100,"")</f>
        <v/>
      </c>
    </row>
    <row r="42" customFormat="false" ht="15" hidden="false" customHeight="false" outlineLevel="0" collapsed="false">
      <c r="AD42" s="25" t="str">
        <f aca="false">IFERROR(1.96*R42/SQRT(J42*K42),"")</f>
        <v/>
      </c>
      <c r="AE42" s="25" t="str">
        <f aca="false">IFERROR(AVERAGEIFS(Q$2:Q$300,C$2:C$300,C42,G$2:G$300,G42,D$2:D$300,"BF16"),"")</f>
        <v/>
      </c>
      <c r="AF42" s="28" t="str">
        <f aca="false">IFERROR((Q42-AE42)/AE42*100,"")</f>
        <v/>
      </c>
    </row>
    <row r="43" customFormat="false" ht="15" hidden="false" customHeight="false" outlineLevel="0" collapsed="false">
      <c r="AD43" s="25" t="str">
        <f aca="false">IFERROR(1.96*R43/SQRT(J43*K43),"")</f>
        <v/>
      </c>
      <c r="AE43" s="25" t="str">
        <f aca="false">IFERROR(AVERAGEIFS(Q$2:Q$300,C$2:C$300,C43,G$2:G$300,G43,D$2:D$300,"BF16"),"")</f>
        <v/>
      </c>
      <c r="AF43" s="28" t="str">
        <f aca="false">IFERROR((Q43-AE43)/AE43*100,"")</f>
        <v/>
      </c>
    </row>
    <row r="44" customFormat="false" ht="15" hidden="false" customHeight="false" outlineLevel="0" collapsed="false">
      <c r="AD44" s="25" t="str">
        <f aca="false">IFERROR(1.96*R44/SQRT(J44*K44),"")</f>
        <v/>
      </c>
      <c r="AE44" s="25" t="str">
        <f aca="false">IFERROR(AVERAGEIFS(Q$2:Q$300,C$2:C$300,C44,G$2:G$300,G44,D$2:D$300,"BF16"),"")</f>
        <v/>
      </c>
      <c r="AF44" s="28" t="str">
        <f aca="false">IFERROR((Q44-AE44)/AE44*100,"")</f>
        <v/>
      </c>
    </row>
    <row r="45" customFormat="false" ht="15" hidden="false" customHeight="false" outlineLevel="0" collapsed="false">
      <c r="AD45" s="25" t="str">
        <f aca="false">IFERROR(1.96*R45/SQRT(J45*K45),"")</f>
        <v/>
      </c>
      <c r="AE45" s="25" t="str">
        <f aca="false">IFERROR(AVERAGEIFS(Q$2:Q$300,C$2:C$300,C45,G$2:G$300,G45,D$2:D$300,"BF16"),"")</f>
        <v/>
      </c>
      <c r="AF45" s="28" t="str">
        <f aca="false">IFERROR((Q45-AE45)/AE45*100,"")</f>
        <v/>
      </c>
    </row>
    <row r="46" customFormat="false" ht="15" hidden="false" customHeight="false" outlineLevel="0" collapsed="false">
      <c r="AD46" s="25" t="str">
        <f aca="false">IFERROR(1.96*R46/SQRT(J46*K46),"")</f>
        <v/>
      </c>
      <c r="AE46" s="25" t="str">
        <f aca="false">IFERROR(AVERAGEIFS(Q$2:Q$300,C$2:C$300,C46,G$2:G$300,G46,D$2:D$300,"BF16"),"")</f>
        <v/>
      </c>
      <c r="AF46" s="28" t="str">
        <f aca="false">IFERROR((Q46-AE46)/AE46*100,"")</f>
        <v/>
      </c>
    </row>
    <row r="47" customFormat="false" ht="15" hidden="false" customHeight="false" outlineLevel="0" collapsed="false">
      <c r="AD47" s="25" t="str">
        <f aca="false">IFERROR(1.96*R47/SQRT(J47*K47),"")</f>
        <v/>
      </c>
      <c r="AE47" s="25" t="str">
        <f aca="false">IFERROR(AVERAGEIFS(Q$2:Q$300,C$2:C$300,C47,G$2:G$300,G47,D$2:D$300,"BF16"),"")</f>
        <v/>
      </c>
      <c r="AF47" s="28" t="str">
        <f aca="false">IFERROR((Q47-AE47)/AE47*100,"")</f>
        <v/>
      </c>
    </row>
    <row r="48" customFormat="false" ht="15" hidden="false" customHeight="false" outlineLevel="0" collapsed="false">
      <c r="AD48" s="25" t="str">
        <f aca="false">IFERROR(1.96*R48/SQRT(J48*K48),"")</f>
        <v/>
      </c>
      <c r="AE48" s="25" t="str">
        <f aca="false">IFERROR(AVERAGEIFS(Q$2:Q$300,C$2:C$300,C48,G$2:G$300,G48,D$2:D$300,"BF16"),"")</f>
        <v/>
      </c>
      <c r="AF48" s="28" t="str">
        <f aca="false">IFERROR((Q48-AE48)/AE48*100,"")</f>
        <v/>
      </c>
    </row>
    <row r="49" customFormat="false" ht="15" hidden="false" customHeight="false" outlineLevel="0" collapsed="false">
      <c r="AD49" s="25" t="str">
        <f aca="false">IFERROR(1.96*R49/SQRT(J49*K49),"")</f>
        <v/>
      </c>
      <c r="AE49" s="25" t="str">
        <f aca="false">IFERROR(AVERAGEIFS(Q$2:Q$300,C$2:C$300,C49,G$2:G$300,G49,D$2:D$300,"BF16"),"")</f>
        <v/>
      </c>
      <c r="AF49" s="28" t="str">
        <f aca="false">IFERROR((Q49-AE49)/AE49*100,"")</f>
        <v/>
      </c>
    </row>
    <row r="50" customFormat="false" ht="15" hidden="false" customHeight="false" outlineLevel="0" collapsed="false">
      <c r="AD50" s="25" t="str">
        <f aca="false">IFERROR(1.96*R50/SQRT(J50*K50),"")</f>
        <v/>
      </c>
      <c r="AE50" s="25" t="str">
        <f aca="false">IFERROR(AVERAGEIFS(Q$2:Q$300,C$2:C$300,C50,G$2:G$300,G50,D$2:D$300,"BF16"),"")</f>
        <v/>
      </c>
      <c r="AF50" s="28" t="str">
        <f aca="false">IFERROR((Q50-AE50)/AE50*100,"")</f>
        <v/>
      </c>
    </row>
    <row r="51" customFormat="false" ht="15" hidden="false" customHeight="false" outlineLevel="0" collapsed="false">
      <c r="AD51" s="25" t="str">
        <f aca="false">IFERROR(1.96*R51/SQRT(J51*K51),"")</f>
        <v/>
      </c>
      <c r="AE51" s="25" t="str">
        <f aca="false">IFERROR(AVERAGEIFS(Q$2:Q$300,C$2:C$300,C51,G$2:G$300,G51,D$2:D$300,"BF16"),"")</f>
        <v/>
      </c>
      <c r="AF51" s="28" t="str">
        <f aca="false">IFERROR((Q51-AE51)/AE51*100,"")</f>
        <v/>
      </c>
    </row>
    <row r="52" customFormat="false" ht="15" hidden="false" customHeight="false" outlineLevel="0" collapsed="false">
      <c r="AD52" s="25" t="str">
        <f aca="false">IFERROR(1.96*R52/SQRT(J52*K52),"")</f>
        <v/>
      </c>
      <c r="AE52" s="25" t="str">
        <f aca="false">IFERROR(AVERAGEIFS(Q$2:Q$300,C$2:C$300,C52,G$2:G$300,G52,D$2:D$300,"BF16"),"")</f>
        <v/>
      </c>
      <c r="AF52" s="28" t="str">
        <f aca="false">IFERROR((Q52-AE52)/AE52*100,"")</f>
        <v/>
      </c>
    </row>
    <row r="53" customFormat="false" ht="15" hidden="false" customHeight="false" outlineLevel="0" collapsed="false">
      <c r="AD53" s="25" t="str">
        <f aca="false">IFERROR(1.96*R53/SQRT(J53*K53),"")</f>
        <v/>
      </c>
      <c r="AE53" s="25" t="str">
        <f aca="false">IFERROR(AVERAGEIFS(Q$2:Q$300,C$2:C$300,C53,G$2:G$300,G53,D$2:D$300,"BF16"),"")</f>
        <v/>
      </c>
      <c r="AF53" s="28" t="str">
        <f aca="false">IFERROR((Q53-AE53)/AE53*100,"")</f>
        <v/>
      </c>
    </row>
    <row r="54" customFormat="false" ht="15" hidden="false" customHeight="false" outlineLevel="0" collapsed="false">
      <c r="AD54" s="25" t="str">
        <f aca="false">IFERROR(1.96*R54/SQRT(J54*K54),"")</f>
        <v/>
      </c>
      <c r="AE54" s="25" t="str">
        <f aca="false">IFERROR(AVERAGEIFS(Q$2:Q$300,C$2:C$300,C54,G$2:G$300,G54,D$2:D$300,"BF16"),"")</f>
        <v/>
      </c>
      <c r="AF54" s="28" t="str">
        <f aca="false">IFERROR((Q54-AE54)/AE54*100,"")</f>
        <v/>
      </c>
    </row>
    <row r="55" customFormat="false" ht="15" hidden="false" customHeight="false" outlineLevel="0" collapsed="false">
      <c r="AD55" s="25" t="str">
        <f aca="false">IFERROR(1.96*R55/SQRT(J55*K55),"")</f>
        <v/>
      </c>
      <c r="AE55" s="25" t="str">
        <f aca="false">IFERROR(AVERAGEIFS(Q$2:Q$300,C$2:C$300,C55,G$2:G$300,G55,D$2:D$300,"BF16"),"")</f>
        <v/>
      </c>
      <c r="AF55" s="28" t="str">
        <f aca="false">IFERROR((Q55-AE55)/AE55*100,"")</f>
        <v/>
      </c>
    </row>
    <row r="56" customFormat="false" ht="15" hidden="false" customHeight="false" outlineLevel="0" collapsed="false">
      <c r="AD56" s="25" t="str">
        <f aca="false">IFERROR(1.96*R56/SQRT(J56*K56),"")</f>
        <v/>
      </c>
      <c r="AE56" s="25" t="str">
        <f aca="false">IFERROR(AVERAGEIFS(Q$2:Q$300,C$2:C$300,C56,G$2:G$300,G56,D$2:D$300,"BF16"),"")</f>
        <v/>
      </c>
      <c r="AF56" s="28" t="str">
        <f aca="false">IFERROR((Q56-AE56)/AE56*100,"")</f>
        <v/>
      </c>
    </row>
    <row r="57" customFormat="false" ht="15" hidden="false" customHeight="false" outlineLevel="0" collapsed="false">
      <c r="AD57" s="25" t="str">
        <f aca="false">IFERROR(1.96*R57/SQRT(J57*K57),"")</f>
        <v/>
      </c>
      <c r="AE57" s="25" t="str">
        <f aca="false">IFERROR(AVERAGEIFS(Q$2:Q$300,C$2:C$300,C57,G$2:G$300,G57,D$2:D$300,"BF16"),"")</f>
        <v/>
      </c>
      <c r="AF57" s="28" t="str">
        <f aca="false">IFERROR((Q57-AE57)/AE57*100,"")</f>
        <v/>
      </c>
    </row>
    <row r="58" customFormat="false" ht="15" hidden="false" customHeight="false" outlineLevel="0" collapsed="false">
      <c r="AD58" s="25" t="str">
        <f aca="false">IFERROR(1.96*R58/SQRT(J58*K58),"")</f>
        <v/>
      </c>
      <c r="AE58" s="25" t="str">
        <f aca="false">IFERROR(AVERAGEIFS(Q$2:Q$300,C$2:C$300,C58,G$2:G$300,G58,D$2:D$300,"BF16"),"")</f>
        <v/>
      </c>
      <c r="AF58" s="28" t="str">
        <f aca="false">IFERROR((Q58-AE58)/AE58*100,"")</f>
        <v/>
      </c>
    </row>
    <row r="59" customFormat="false" ht="15" hidden="false" customHeight="false" outlineLevel="0" collapsed="false">
      <c r="AD59" s="25" t="str">
        <f aca="false">IFERROR(1.96*R59/SQRT(J59*K59),"")</f>
        <v/>
      </c>
      <c r="AE59" s="25" t="str">
        <f aca="false">IFERROR(AVERAGEIFS(Q$2:Q$300,C$2:C$300,C59,G$2:G$300,G59,D$2:D$300,"BF16"),"")</f>
        <v/>
      </c>
      <c r="AF59" s="28" t="str">
        <f aca="false">IFERROR((Q59-AE59)/AE59*100,"")</f>
        <v/>
      </c>
    </row>
    <row r="60" customFormat="false" ht="15" hidden="false" customHeight="false" outlineLevel="0" collapsed="false">
      <c r="AD60" s="25" t="str">
        <f aca="false">IFERROR(1.96*R60/SQRT(J60*K60),"")</f>
        <v/>
      </c>
      <c r="AE60" s="25" t="str">
        <f aca="false">IFERROR(AVERAGEIFS(Q$2:Q$300,C$2:C$300,C60,G$2:G$300,G60,D$2:D$300,"BF16"),"")</f>
        <v/>
      </c>
      <c r="AF60" s="28" t="str">
        <f aca="false">IFERROR((Q60-AE60)/AE60*100,"")</f>
        <v/>
      </c>
    </row>
    <row r="61" customFormat="false" ht="15" hidden="false" customHeight="false" outlineLevel="0" collapsed="false">
      <c r="AD61" s="25" t="str">
        <f aca="false">IFERROR(1.96*R61/SQRT(J61*K61),"")</f>
        <v/>
      </c>
      <c r="AE61" s="25" t="str">
        <f aca="false">IFERROR(AVERAGEIFS(Q$2:Q$300,C$2:C$300,C61,G$2:G$300,G61,D$2:D$300,"BF16"),"")</f>
        <v/>
      </c>
      <c r="AF61" s="28" t="str">
        <f aca="false">IFERROR((Q61-AE61)/AE61*100,"")</f>
        <v/>
      </c>
    </row>
    <row r="62" customFormat="false" ht="15" hidden="false" customHeight="false" outlineLevel="0" collapsed="false">
      <c r="AD62" s="25" t="str">
        <f aca="false">IFERROR(1.96*R62/SQRT(J62*K62),"")</f>
        <v/>
      </c>
      <c r="AE62" s="25" t="str">
        <f aca="false">IFERROR(AVERAGEIFS(Q$2:Q$300,C$2:C$300,C62,G$2:G$300,G62,D$2:D$300,"BF16"),"")</f>
        <v/>
      </c>
      <c r="AF62" s="28" t="str">
        <f aca="false">IFERROR((Q62-AE62)/AE62*100,"")</f>
        <v/>
      </c>
    </row>
    <row r="63" customFormat="false" ht="15" hidden="false" customHeight="false" outlineLevel="0" collapsed="false">
      <c r="AD63" s="25" t="str">
        <f aca="false">IFERROR(1.96*R63/SQRT(J63*K63),"")</f>
        <v/>
      </c>
      <c r="AE63" s="25" t="str">
        <f aca="false">IFERROR(AVERAGEIFS(Q$2:Q$300,C$2:C$300,C63,G$2:G$300,G63,D$2:D$300,"BF16"),"")</f>
        <v/>
      </c>
      <c r="AF63" s="28" t="str">
        <f aca="false">IFERROR((Q63-AE63)/AE63*100,"")</f>
        <v/>
      </c>
    </row>
    <row r="64" customFormat="false" ht="15" hidden="false" customHeight="false" outlineLevel="0" collapsed="false">
      <c r="AD64" s="25" t="str">
        <f aca="false">IFERROR(1.96*R64/SQRT(J64*K64),"")</f>
        <v/>
      </c>
      <c r="AE64" s="25" t="str">
        <f aca="false">IFERROR(AVERAGEIFS(Q$2:Q$300,C$2:C$300,C64,G$2:G$300,G64,D$2:D$300,"BF16"),"")</f>
        <v/>
      </c>
      <c r="AF64" s="28" t="str">
        <f aca="false">IFERROR((Q64-AE64)/AE64*100,"")</f>
        <v/>
      </c>
    </row>
    <row r="65" customFormat="false" ht="15" hidden="false" customHeight="false" outlineLevel="0" collapsed="false">
      <c r="AD65" s="25" t="str">
        <f aca="false">IFERROR(1.96*R65/SQRT(J65*K65),"")</f>
        <v/>
      </c>
      <c r="AE65" s="25" t="str">
        <f aca="false">IFERROR(AVERAGEIFS(Q$2:Q$300,C$2:C$300,C65,G$2:G$300,G65,D$2:D$300,"BF16"),"")</f>
        <v/>
      </c>
      <c r="AF65" s="28" t="str">
        <f aca="false">IFERROR((Q65-AE65)/AE65*100,"")</f>
        <v/>
      </c>
    </row>
    <row r="66" customFormat="false" ht="15" hidden="false" customHeight="false" outlineLevel="0" collapsed="false">
      <c r="AD66" s="25" t="str">
        <f aca="false">IFERROR(1.96*R66/SQRT(J66*K66),"")</f>
        <v/>
      </c>
      <c r="AE66" s="25" t="str">
        <f aca="false">IFERROR(AVERAGEIFS(Q$2:Q$300,C$2:C$300,C66,G$2:G$300,G66,D$2:D$300,"BF16"),"")</f>
        <v/>
      </c>
      <c r="AF66" s="28" t="str">
        <f aca="false">IFERROR((Q66-AE66)/AE66*100,"")</f>
        <v/>
      </c>
    </row>
    <row r="67" customFormat="false" ht="15" hidden="false" customHeight="false" outlineLevel="0" collapsed="false">
      <c r="AD67" s="25" t="str">
        <f aca="false">IFERROR(1.96*R67/SQRT(J67*K67),"")</f>
        <v/>
      </c>
      <c r="AE67" s="25" t="str">
        <f aca="false">IFERROR(AVERAGEIFS(Q$2:Q$300,C$2:C$300,C67,G$2:G$300,G67,D$2:D$300,"BF16"),"")</f>
        <v/>
      </c>
      <c r="AF67" s="28" t="str">
        <f aca="false">IFERROR((Q67-AE67)/AE67*100,"")</f>
        <v/>
      </c>
    </row>
    <row r="68" customFormat="false" ht="15" hidden="false" customHeight="false" outlineLevel="0" collapsed="false">
      <c r="AD68" s="25" t="str">
        <f aca="false">IFERROR(1.96*R68/SQRT(J68*K68),"")</f>
        <v/>
      </c>
      <c r="AE68" s="25" t="str">
        <f aca="false">IFERROR(AVERAGEIFS(Q$2:Q$300,C$2:C$300,C68,G$2:G$300,G68,D$2:D$300,"BF16"),"")</f>
        <v/>
      </c>
      <c r="AF68" s="28" t="str">
        <f aca="false">IFERROR((Q68-AE68)/AE68*100,"")</f>
        <v/>
      </c>
    </row>
    <row r="69" customFormat="false" ht="15" hidden="false" customHeight="false" outlineLevel="0" collapsed="false">
      <c r="AD69" s="25" t="str">
        <f aca="false">IFERROR(1.96*R69/SQRT(J69*K69),"")</f>
        <v/>
      </c>
      <c r="AE69" s="25" t="str">
        <f aca="false">IFERROR(AVERAGEIFS(Q$2:Q$300,C$2:C$300,C69,G$2:G$300,G69,D$2:D$300,"BF16"),"")</f>
        <v/>
      </c>
      <c r="AF69" s="28" t="str">
        <f aca="false">IFERROR((Q69-AE69)/AE69*100,"")</f>
        <v/>
      </c>
    </row>
    <row r="70" customFormat="false" ht="15" hidden="false" customHeight="false" outlineLevel="0" collapsed="false">
      <c r="AD70" s="25" t="str">
        <f aca="false">IFERROR(1.96*R70/SQRT(J70*K70),"")</f>
        <v/>
      </c>
      <c r="AE70" s="25" t="str">
        <f aca="false">IFERROR(AVERAGEIFS(Q$2:Q$300,C$2:C$300,C70,G$2:G$300,G70,D$2:D$300,"BF16"),"")</f>
        <v/>
      </c>
      <c r="AF70" s="28" t="str">
        <f aca="false">IFERROR((Q70-AE70)/AE70*100,"")</f>
        <v/>
      </c>
    </row>
    <row r="71" customFormat="false" ht="15" hidden="false" customHeight="false" outlineLevel="0" collapsed="false">
      <c r="AD71" s="25" t="str">
        <f aca="false">IFERROR(1.96*R71/SQRT(J71*K71),"")</f>
        <v/>
      </c>
      <c r="AE71" s="25" t="str">
        <f aca="false">IFERROR(AVERAGEIFS(Q$2:Q$300,C$2:C$300,C71,G$2:G$300,G71,D$2:D$300,"BF16"),"")</f>
        <v/>
      </c>
      <c r="AF71" s="28" t="str">
        <f aca="false">IFERROR((Q71-AE71)/AE71*100,"")</f>
        <v/>
      </c>
    </row>
    <row r="72" customFormat="false" ht="15" hidden="false" customHeight="false" outlineLevel="0" collapsed="false">
      <c r="AD72" s="25" t="str">
        <f aca="false">IFERROR(1.96*R72/SQRT(J72*K72),"")</f>
        <v/>
      </c>
      <c r="AE72" s="25" t="str">
        <f aca="false">IFERROR(AVERAGEIFS(Q$2:Q$300,C$2:C$300,C72,G$2:G$300,G72,D$2:D$300,"BF16"),"")</f>
        <v/>
      </c>
      <c r="AF72" s="28" t="str">
        <f aca="false">IFERROR((Q72-AE72)/AE72*100,"")</f>
        <v/>
      </c>
    </row>
    <row r="73" customFormat="false" ht="15" hidden="false" customHeight="false" outlineLevel="0" collapsed="false">
      <c r="AD73" s="25" t="str">
        <f aca="false">IFERROR(1.96*R73/SQRT(J73*K73),"")</f>
        <v/>
      </c>
      <c r="AE73" s="25" t="str">
        <f aca="false">IFERROR(AVERAGEIFS(Q$2:Q$300,C$2:C$300,C73,G$2:G$300,G73,D$2:D$300,"BF16"),"")</f>
        <v/>
      </c>
      <c r="AF73" s="28" t="str">
        <f aca="false">IFERROR((Q73-AE73)/AE73*100,"")</f>
        <v/>
      </c>
    </row>
    <row r="74" customFormat="false" ht="15" hidden="false" customHeight="false" outlineLevel="0" collapsed="false">
      <c r="AD74" s="25" t="str">
        <f aca="false">IFERROR(1.96*R74/SQRT(J74*K74),"")</f>
        <v/>
      </c>
      <c r="AE74" s="25" t="str">
        <f aca="false">IFERROR(AVERAGEIFS(Q$2:Q$300,C$2:C$300,C74,G$2:G$300,G74,D$2:D$300,"BF16"),"")</f>
        <v/>
      </c>
      <c r="AF74" s="28" t="str">
        <f aca="false">IFERROR((Q74-AE74)/AE74*100,"")</f>
        <v/>
      </c>
    </row>
    <row r="75" customFormat="false" ht="15" hidden="false" customHeight="false" outlineLevel="0" collapsed="false">
      <c r="AD75" s="25" t="str">
        <f aca="false">IFERROR(1.96*R75/SQRT(J75*K75),"")</f>
        <v/>
      </c>
      <c r="AE75" s="25" t="str">
        <f aca="false">IFERROR(AVERAGEIFS(Q$2:Q$300,C$2:C$300,C75,G$2:G$300,G75,D$2:D$300,"BF16"),"")</f>
        <v/>
      </c>
      <c r="AF75" s="28" t="str">
        <f aca="false">IFERROR((Q75-AE75)/AE75*100,"")</f>
        <v/>
      </c>
    </row>
    <row r="76" customFormat="false" ht="15" hidden="false" customHeight="false" outlineLevel="0" collapsed="false">
      <c r="AD76" s="25" t="str">
        <f aca="false">IFERROR(1.96*R76/SQRT(J76*K76),"")</f>
        <v/>
      </c>
      <c r="AE76" s="25" t="str">
        <f aca="false">IFERROR(AVERAGEIFS(Q$2:Q$300,C$2:C$300,C76,G$2:G$300,G76,D$2:D$300,"BF16"),"")</f>
        <v/>
      </c>
      <c r="AF76" s="28" t="str">
        <f aca="false">IFERROR((Q76-AE76)/AE76*100,"")</f>
        <v/>
      </c>
    </row>
    <row r="77" customFormat="false" ht="15" hidden="false" customHeight="false" outlineLevel="0" collapsed="false">
      <c r="AD77" s="25" t="str">
        <f aca="false">IFERROR(1.96*R77/SQRT(J77*K77),"")</f>
        <v/>
      </c>
      <c r="AE77" s="25" t="str">
        <f aca="false">IFERROR(AVERAGEIFS(Q$2:Q$300,C$2:C$300,C77,G$2:G$300,G77,D$2:D$300,"BF16"),"")</f>
        <v/>
      </c>
      <c r="AF77" s="28" t="str">
        <f aca="false">IFERROR((Q77-AE77)/AE77*100,"")</f>
        <v/>
      </c>
    </row>
    <row r="78" customFormat="false" ht="15" hidden="false" customHeight="false" outlineLevel="0" collapsed="false">
      <c r="AD78" s="25" t="str">
        <f aca="false">IFERROR(1.96*R78/SQRT(J78*K78),"")</f>
        <v/>
      </c>
      <c r="AE78" s="25" t="str">
        <f aca="false">IFERROR(AVERAGEIFS(Q$2:Q$300,C$2:C$300,C78,G$2:G$300,G78,D$2:D$300,"BF16"),"")</f>
        <v/>
      </c>
      <c r="AF78" s="28" t="str">
        <f aca="false">IFERROR((Q78-AE78)/AE78*100,"")</f>
        <v/>
      </c>
    </row>
    <row r="79" customFormat="false" ht="15" hidden="false" customHeight="false" outlineLevel="0" collapsed="false">
      <c r="AD79" s="25" t="str">
        <f aca="false">IFERROR(1.96*R79/SQRT(J79*K79),"")</f>
        <v/>
      </c>
      <c r="AE79" s="25" t="str">
        <f aca="false">IFERROR(AVERAGEIFS(Q$2:Q$300,C$2:C$300,C79,G$2:G$300,G79,D$2:D$300,"BF16"),"")</f>
        <v/>
      </c>
      <c r="AF79" s="28" t="str">
        <f aca="false">IFERROR((Q79-AE79)/AE79*100,"")</f>
        <v/>
      </c>
    </row>
    <row r="80" customFormat="false" ht="15" hidden="false" customHeight="false" outlineLevel="0" collapsed="false">
      <c r="AD80" s="25" t="str">
        <f aca="false">IFERROR(1.96*R80/SQRT(J80*K80),"")</f>
        <v/>
      </c>
      <c r="AE80" s="25" t="str">
        <f aca="false">IFERROR(AVERAGEIFS(Q$2:Q$300,C$2:C$300,C80,G$2:G$300,G80,D$2:D$300,"BF16"),"")</f>
        <v/>
      </c>
      <c r="AF80" s="28" t="str">
        <f aca="false">IFERROR((Q80-AE80)/AE80*100,"")</f>
        <v/>
      </c>
    </row>
    <row r="81" customFormat="false" ht="15" hidden="false" customHeight="false" outlineLevel="0" collapsed="false">
      <c r="AD81" s="25" t="str">
        <f aca="false">IFERROR(1.96*R81/SQRT(J81*K81),"")</f>
        <v/>
      </c>
      <c r="AE81" s="25" t="str">
        <f aca="false">IFERROR(AVERAGEIFS(Q$2:Q$300,C$2:C$300,C81,G$2:G$300,G81,D$2:D$300,"BF16"),"")</f>
        <v/>
      </c>
      <c r="AF81" s="28" t="str">
        <f aca="false">IFERROR((Q81-AE81)/AE81*100,"")</f>
        <v/>
      </c>
    </row>
    <row r="82" customFormat="false" ht="15" hidden="false" customHeight="false" outlineLevel="0" collapsed="false">
      <c r="AD82" s="25" t="str">
        <f aca="false">IFERROR(1.96*R82/SQRT(J82*K82),"")</f>
        <v/>
      </c>
      <c r="AE82" s="25" t="str">
        <f aca="false">IFERROR(AVERAGEIFS(Q$2:Q$300,C$2:C$300,C82,G$2:G$300,G82,D$2:D$300,"BF16"),"")</f>
        <v/>
      </c>
      <c r="AF82" s="28" t="str">
        <f aca="false">IFERROR((Q82-AE82)/AE82*100,"")</f>
        <v/>
      </c>
    </row>
    <row r="83" customFormat="false" ht="15" hidden="false" customHeight="false" outlineLevel="0" collapsed="false">
      <c r="AD83" s="25" t="str">
        <f aca="false">IFERROR(1.96*R83/SQRT(J83*K83),"")</f>
        <v/>
      </c>
      <c r="AE83" s="25" t="str">
        <f aca="false">IFERROR(AVERAGEIFS(Q$2:Q$300,C$2:C$300,C83,G$2:G$300,G83,D$2:D$300,"BF16"),"")</f>
        <v/>
      </c>
      <c r="AF83" s="28" t="str">
        <f aca="false">IFERROR((Q83-AE83)/AE83*100,"")</f>
        <v/>
      </c>
    </row>
    <row r="84" customFormat="false" ht="15" hidden="false" customHeight="false" outlineLevel="0" collapsed="false">
      <c r="AD84" s="25" t="str">
        <f aca="false">IFERROR(1.96*R84/SQRT(J84*K84),"")</f>
        <v/>
      </c>
      <c r="AE84" s="25" t="str">
        <f aca="false">IFERROR(AVERAGEIFS(Q$2:Q$300,C$2:C$300,C84,G$2:G$300,G84,D$2:D$300,"BF16"),"")</f>
        <v/>
      </c>
      <c r="AF84" s="28" t="str">
        <f aca="false">IFERROR((Q84-AE84)/AE84*100,"")</f>
        <v/>
      </c>
    </row>
    <row r="85" customFormat="false" ht="15" hidden="false" customHeight="false" outlineLevel="0" collapsed="false">
      <c r="AD85" s="25" t="str">
        <f aca="false">IFERROR(1.96*R85/SQRT(J85*K85),"")</f>
        <v/>
      </c>
      <c r="AE85" s="25" t="str">
        <f aca="false">IFERROR(AVERAGEIFS(Q$2:Q$300,C$2:C$300,C85,G$2:G$300,G85,D$2:D$300,"BF16"),"")</f>
        <v/>
      </c>
      <c r="AF85" s="28" t="str">
        <f aca="false">IFERROR((Q85-AE85)/AE85*100,"")</f>
        <v/>
      </c>
    </row>
    <row r="86" customFormat="false" ht="15" hidden="false" customHeight="false" outlineLevel="0" collapsed="false">
      <c r="AD86" s="25" t="str">
        <f aca="false">IFERROR(1.96*R86/SQRT(J86*K86),"")</f>
        <v/>
      </c>
      <c r="AE86" s="25" t="str">
        <f aca="false">IFERROR(AVERAGEIFS(Q$2:Q$300,C$2:C$300,C86,G$2:G$300,G86,D$2:D$300,"BF16"),"")</f>
        <v/>
      </c>
      <c r="AF86" s="28" t="str">
        <f aca="false">IFERROR((Q86-AE86)/AE86*100,"")</f>
        <v/>
      </c>
    </row>
    <row r="87" customFormat="false" ht="15" hidden="false" customHeight="false" outlineLevel="0" collapsed="false">
      <c r="AD87" s="25" t="str">
        <f aca="false">IFERROR(1.96*R87/SQRT(J87*K87),"")</f>
        <v/>
      </c>
      <c r="AE87" s="25" t="str">
        <f aca="false">IFERROR(AVERAGEIFS(Q$2:Q$300,C$2:C$300,C87,G$2:G$300,G87,D$2:D$300,"BF16"),"")</f>
        <v/>
      </c>
      <c r="AF87" s="28" t="str">
        <f aca="false">IFERROR((Q87-AE87)/AE87*100,"")</f>
        <v/>
      </c>
    </row>
    <row r="88" customFormat="false" ht="15" hidden="false" customHeight="false" outlineLevel="0" collapsed="false">
      <c r="AD88" s="25" t="str">
        <f aca="false">IFERROR(1.96*R88/SQRT(J88*K88),"")</f>
        <v/>
      </c>
      <c r="AE88" s="25" t="str">
        <f aca="false">IFERROR(AVERAGEIFS(Q$2:Q$300,C$2:C$300,C88,G$2:G$300,G88,D$2:D$300,"BF16"),"")</f>
        <v/>
      </c>
      <c r="AF88" s="28" t="str">
        <f aca="false">IFERROR((Q88-AE88)/AE88*100,"")</f>
        <v/>
      </c>
    </row>
    <row r="89" customFormat="false" ht="15" hidden="false" customHeight="false" outlineLevel="0" collapsed="false">
      <c r="AD89" s="25" t="str">
        <f aca="false">IFERROR(1.96*R89/SQRT(J89*K89),"")</f>
        <v/>
      </c>
      <c r="AE89" s="25" t="str">
        <f aca="false">IFERROR(AVERAGEIFS(Q$2:Q$300,C$2:C$300,C89,G$2:G$300,G89,D$2:D$300,"BF16"),"")</f>
        <v/>
      </c>
      <c r="AF89" s="28" t="str">
        <f aca="false">IFERROR((Q89-AE89)/AE89*100,"")</f>
        <v/>
      </c>
    </row>
    <row r="90" customFormat="false" ht="15" hidden="false" customHeight="false" outlineLevel="0" collapsed="false">
      <c r="AD90" s="25" t="str">
        <f aca="false">IFERROR(1.96*R90/SQRT(J90*K90),"")</f>
        <v/>
      </c>
      <c r="AE90" s="25" t="str">
        <f aca="false">IFERROR(AVERAGEIFS(Q$2:Q$300,C$2:C$300,C90,G$2:G$300,G90,D$2:D$300,"BF16"),"")</f>
        <v/>
      </c>
      <c r="AF90" s="28" t="str">
        <f aca="false">IFERROR((Q90-AE90)/AE90*100,"")</f>
        <v/>
      </c>
    </row>
    <row r="91" customFormat="false" ht="15" hidden="false" customHeight="false" outlineLevel="0" collapsed="false">
      <c r="AD91" s="25" t="str">
        <f aca="false">IFERROR(1.96*R91/SQRT(J91*K91),"")</f>
        <v/>
      </c>
      <c r="AE91" s="25" t="str">
        <f aca="false">IFERROR(AVERAGEIFS(Q$2:Q$300,C$2:C$300,C91,G$2:G$300,G91,D$2:D$300,"BF16"),"")</f>
        <v/>
      </c>
      <c r="AF91" s="28" t="str">
        <f aca="false">IFERROR((Q91-AE91)/AE91*100,"")</f>
        <v/>
      </c>
    </row>
    <row r="92" customFormat="false" ht="15" hidden="false" customHeight="false" outlineLevel="0" collapsed="false">
      <c r="AD92" s="25" t="str">
        <f aca="false">IFERROR(1.96*R92/SQRT(J92*K92),"")</f>
        <v/>
      </c>
      <c r="AE92" s="25" t="str">
        <f aca="false">IFERROR(AVERAGEIFS(Q$2:Q$300,C$2:C$300,C92,G$2:G$300,G92,D$2:D$300,"BF16"),"")</f>
        <v/>
      </c>
      <c r="AF92" s="28" t="str">
        <f aca="false">IFERROR((Q92-AE92)/AE92*100,"")</f>
        <v/>
      </c>
    </row>
    <row r="93" customFormat="false" ht="15" hidden="false" customHeight="false" outlineLevel="0" collapsed="false">
      <c r="AD93" s="25" t="str">
        <f aca="false">IFERROR(1.96*R93/SQRT(J93*K93),"")</f>
        <v/>
      </c>
      <c r="AE93" s="25" t="str">
        <f aca="false">IFERROR(AVERAGEIFS(Q$2:Q$300,C$2:C$300,C93,G$2:G$300,G93,D$2:D$300,"BF16"),"")</f>
        <v/>
      </c>
      <c r="AF93" s="28" t="str">
        <f aca="false">IFERROR((Q93-AE93)/AE93*100,"")</f>
        <v/>
      </c>
    </row>
    <row r="94" customFormat="false" ht="15" hidden="false" customHeight="false" outlineLevel="0" collapsed="false">
      <c r="AD94" s="25" t="str">
        <f aca="false">IFERROR(1.96*R94/SQRT(J94*K94),"")</f>
        <v/>
      </c>
      <c r="AE94" s="25" t="str">
        <f aca="false">IFERROR(AVERAGEIFS(Q$2:Q$300,C$2:C$300,C94,G$2:G$300,G94,D$2:D$300,"BF16"),"")</f>
        <v/>
      </c>
      <c r="AF94" s="28" t="str">
        <f aca="false">IFERROR((Q94-AE94)/AE94*100,"")</f>
        <v/>
      </c>
    </row>
    <row r="95" customFormat="false" ht="15" hidden="false" customHeight="false" outlineLevel="0" collapsed="false">
      <c r="AD95" s="25" t="str">
        <f aca="false">IFERROR(1.96*R95/SQRT(J95*K95),"")</f>
        <v/>
      </c>
      <c r="AE95" s="25" t="str">
        <f aca="false">IFERROR(AVERAGEIFS(Q$2:Q$300,C$2:C$300,C95,G$2:G$300,G95,D$2:D$300,"BF16"),"")</f>
        <v/>
      </c>
      <c r="AF95" s="28" t="str">
        <f aca="false">IFERROR((Q95-AE95)/AE95*100,"")</f>
        <v/>
      </c>
    </row>
    <row r="96" customFormat="false" ht="15" hidden="false" customHeight="false" outlineLevel="0" collapsed="false">
      <c r="AD96" s="25" t="str">
        <f aca="false">IFERROR(1.96*R96/SQRT(J96*K96),"")</f>
        <v/>
      </c>
      <c r="AE96" s="25" t="str">
        <f aca="false">IFERROR(AVERAGEIFS(Q$2:Q$300,C$2:C$300,C96,G$2:G$300,G96,D$2:D$300,"BF16"),"")</f>
        <v/>
      </c>
      <c r="AF96" s="28" t="str">
        <f aca="false">IFERROR((Q96-AE96)/AE96*100,"")</f>
        <v/>
      </c>
    </row>
    <row r="97" customFormat="false" ht="15" hidden="false" customHeight="false" outlineLevel="0" collapsed="false">
      <c r="AD97" s="25" t="str">
        <f aca="false">IFERROR(1.96*R97/SQRT(J97*K97),"")</f>
        <v/>
      </c>
      <c r="AE97" s="25" t="str">
        <f aca="false">IFERROR(AVERAGEIFS(Q$2:Q$300,C$2:C$300,C97,G$2:G$300,G97,D$2:D$300,"BF16"),"")</f>
        <v/>
      </c>
      <c r="AF97" s="28" t="str">
        <f aca="false">IFERROR((Q97-AE97)/AE97*100,"")</f>
        <v/>
      </c>
    </row>
    <row r="98" customFormat="false" ht="15" hidden="false" customHeight="false" outlineLevel="0" collapsed="false">
      <c r="AD98" s="25" t="str">
        <f aca="false">IFERROR(1.96*R98/SQRT(J98*K98),"")</f>
        <v/>
      </c>
      <c r="AE98" s="25" t="str">
        <f aca="false">IFERROR(AVERAGEIFS(Q$2:Q$300,C$2:C$300,C98,G$2:G$300,G98,D$2:D$300,"BF16"),"")</f>
        <v/>
      </c>
      <c r="AF98" s="28" t="str">
        <f aca="false">IFERROR((Q98-AE98)/AE98*100,"")</f>
        <v/>
      </c>
    </row>
    <row r="99" customFormat="false" ht="15" hidden="false" customHeight="false" outlineLevel="0" collapsed="false">
      <c r="AD99" s="25" t="str">
        <f aca="false">IFERROR(1.96*R99/SQRT(J99*K99),"")</f>
        <v/>
      </c>
      <c r="AE99" s="25" t="str">
        <f aca="false">IFERROR(AVERAGEIFS(Q$2:Q$300,C$2:C$300,C99,G$2:G$300,G99,D$2:D$300,"BF16"),"")</f>
        <v/>
      </c>
      <c r="AF99" s="28" t="str">
        <f aca="false">IFERROR((Q99-AE99)/AE99*100,"")</f>
        <v/>
      </c>
    </row>
    <row r="100" customFormat="false" ht="15" hidden="false" customHeight="false" outlineLevel="0" collapsed="false">
      <c r="AD100" s="25" t="str">
        <f aca="false">IFERROR(1.96*R100/SQRT(J100*K100),"")</f>
        <v/>
      </c>
      <c r="AE100" s="25" t="str">
        <f aca="false">IFERROR(AVERAGEIFS(Q$2:Q$300,C$2:C$300,C100,G$2:G$300,G100,D$2:D$300,"BF16"),"")</f>
        <v/>
      </c>
      <c r="AF100" s="28" t="str">
        <f aca="false">IFERROR((Q100-AE100)/AE100*100,"")</f>
        <v/>
      </c>
    </row>
    <row r="101" customFormat="false" ht="15" hidden="false" customHeight="false" outlineLevel="0" collapsed="false">
      <c r="AD101" s="25" t="str">
        <f aca="false">IFERROR(1.96*R101/SQRT(J101*K101),"")</f>
        <v/>
      </c>
      <c r="AE101" s="25" t="str">
        <f aca="false">IFERROR(AVERAGEIFS(Q$2:Q$300,C$2:C$300,C101,G$2:G$300,G101,D$2:D$300,"BF16"),"")</f>
        <v/>
      </c>
      <c r="AF101" s="28" t="str">
        <f aca="false">IFERROR((Q101-AE101)/AE101*100,"")</f>
        <v/>
      </c>
    </row>
    <row r="102" customFormat="false" ht="15" hidden="false" customHeight="false" outlineLevel="0" collapsed="false">
      <c r="AD102" s="25" t="str">
        <f aca="false">IFERROR(1.96*R102/SQRT(J102*K102),"")</f>
        <v/>
      </c>
      <c r="AE102" s="25" t="str">
        <f aca="false">IFERROR(AVERAGEIFS(Q$2:Q$300,C$2:C$300,C102,G$2:G$300,G102,D$2:D$300,"BF16"),"")</f>
        <v/>
      </c>
      <c r="AF102" s="28" t="str">
        <f aca="false">IFERROR((Q102-AE102)/AE102*100,"")</f>
        <v/>
      </c>
    </row>
    <row r="103" customFormat="false" ht="15" hidden="false" customHeight="false" outlineLevel="0" collapsed="false">
      <c r="AD103" s="25" t="str">
        <f aca="false">IFERROR(1.96*R103/SQRT(J103*K103),"")</f>
        <v/>
      </c>
      <c r="AE103" s="25" t="str">
        <f aca="false">IFERROR(AVERAGEIFS(Q$2:Q$300,C$2:C$300,C103,G$2:G$300,G103,D$2:D$300,"BF16"),"")</f>
        <v/>
      </c>
      <c r="AF103" s="28" t="str">
        <f aca="false">IFERROR((Q103-AE103)/AE103*100,"")</f>
        <v/>
      </c>
    </row>
    <row r="104" customFormat="false" ht="15" hidden="false" customHeight="false" outlineLevel="0" collapsed="false">
      <c r="AD104" s="25" t="str">
        <f aca="false">IFERROR(1.96*R104/SQRT(J104*K104),"")</f>
        <v/>
      </c>
      <c r="AE104" s="25" t="str">
        <f aca="false">IFERROR(AVERAGEIFS(Q$2:Q$300,C$2:C$300,C104,G$2:G$300,G104,D$2:D$300,"BF16"),"")</f>
        <v/>
      </c>
      <c r="AF104" s="28" t="str">
        <f aca="false">IFERROR((Q104-AE104)/AE104*100,"")</f>
        <v/>
      </c>
    </row>
    <row r="105" customFormat="false" ht="15" hidden="false" customHeight="false" outlineLevel="0" collapsed="false">
      <c r="AD105" s="25" t="str">
        <f aca="false">IFERROR(1.96*R105/SQRT(J105*K105),"")</f>
        <v/>
      </c>
      <c r="AE105" s="25" t="str">
        <f aca="false">IFERROR(AVERAGEIFS(Q$2:Q$300,C$2:C$300,C105,G$2:G$300,G105,D$2:D$300,"BF16"),"")</f>
        <v/>
      </c>
      <c r="AF105" s="28" t="str">
        <f aca="false">IFERROR((Q105-AE105)/AE105*100,"")</f>
        <v/>
      </c>
    </row>
    <row r="106" customFormat="false" ht="15" hidden="false" customHeight="false" outlineLevel="0" collapsed="false">
      <c r="AD106" s="25" t="str">
        <f aca="false">IFERROR(1.96*R106/SQRT(J106*K106),"")</f>
        <v/>
      </c>
      <c r="AE106" s="25" t="str">
        <f aca="false">IFERROR(AVERAGEIFS(Q$2:Q$300,C$2:C$300,C106,G$2:G$300,G106,D$2:D$300,"BF16"),"")</f>
        <v/>
      </c>
      <c r="AF106" s="28" t="str">
        <f aca="false">IFERROR((Q106-AE106)/AE106*100,"")</f>
        <v/>
      </c>
    </row>
    <row r="107" customFormat="false" ht="15" hidden="false" customHeight="false" outlineLevel="0" collapsed="false">
      <c r="AD107" s="25" t="str">
        <f aca="false">IFERROR(1.96*R107/SQRT(J107*K107),"")</f>
        <v/>
      </c>
      <c r="AE107" s="25" t="str">
        <f aca="false">IFERROR(AVERAGEIFS(Q$2:Q$300,C$2:C$300,C107,G$2:G$300,G107,D$2:D$300,"BF16"),"")</f>
        <v/>
      </c>
      <c r="AF107" s="28" t="str">
        <f aca="false">IFERROR((Q107-AE107)/AE107*100,"")</f>
        <v/>
      </c>
    </row>
    <row r="108" customFormat="false" ht="15" hidden="false" customHeight="false" outlineLevel="0" collapsed="false">
      <c r="AD108" s="25" t="str">
        <f aca="false">IFERROR(1.96*R108/SQRT(J108*K108),"")</f>
        <v/>
      </c>
      <c r="AE108" s="25" t="str">
        <f aca="false">IFERROR(AVERAGEIFS(Q$2:Q$300,C$2:C$300,C108,G$2:G$300,G108,D$2:D$300,"BF16"),"")</f>
        <v/>
      </c>
      <c r="AF108" s="28" t="str">
        <f aca="false">IFERROR((Q108-AE108)/AE108*100,"")</f>
        <v/>
      </c>
    </row>
    <row r="109" customFormat="false" ht="15" hidden="false" customHeight="false" outlineLevel="0" collapsed="false">
      <c r="AD109" s="25" t="str">
        <f aca="false">IFERROR(1.96*R109/SQRT(J109*K109),"")</f>
        <v/>
      </c>
      <c r="AE109" s="25" t="str">
        <f aca="false">IFERROR(AVERAGEIFS(Q$2:Q$300,C$2:C$300,C109,G$2:G$300,G109,D$2:D$300,"BF16"),"")</f>
        <v/>
      </c>
      <c r="AF109" s="28" t="str">
        <f aca="false">IFERROR((Q109-AE109)/AE109*100,"")</f>
        <v/>
      </c>
    </row>
    <row r="110" customFormat="false" ht="15" hidden="false" customHeight="false" outlineLevel="0" collapsed="false">
      <c r="AD110" s="25" t="str">
        <f aca="false">IFERROR(1.96*R110/SQRT(J110*K110),"")</f>
        <v/>
      </c>
      <c r="AE110" s="25" t="str">
        <f aca="false">IFERROR(AVERAGEIFS(Q$2:Q$300,C$2:C$300,C110,G$2:G$300,G110,D$2:D$300,"BF16"),"")</f>
        <v/>
      </c>
      <c r="AF110" s="28" t="str">
        <f aca="false">IFERROR((Q110-AE110)/AE110*100,"")</f>
        <v/>
      </c>
    </row>
    <row r="111" customFormat="false" ht="15" hidden="false" customHeight="false" outlineLevel="0" collapsed="false">
      <c r="AD111" s="25" t="str">
        <f aca="false">IFERROR(1.96*R111/SQRT(J111*K111),"")</f>
        <v/>
      </c>
      <c r="AE111" s="25" t="str">
        <f aca="false">IFERROR(AVERAGEIFS(Q$2:Q$300,C$2:C$300,C111,G$2:G$300,G111,D$2:D$300,"BF16"),"")</f>
        <v/>
      </c>
      <c r="AF111" s="28" t="str">
        <f aca="false">IFERROR((Q111-AE111)/AE111*100,"")</f>
        <v/>
      </c>
    </row>
    <row r="112" customFormat="false" ht="15" hidden="false" customHeight="false" outlineLevel="0" collapsed="false">
      <c r="AD112" s="25" t="str">
        <f aca="false">IFERROR(1.96*R112/SQRT(J112*K112),"")</f>
        <v/>
      </c>
      <c r="AE112" s="25" t="str">
        <f aca="false">IFERROR(AVERAGEIFS(Q$2:Q$300,C$2:C$300,C112,G$2:G$300,G112,D$2:D$300,"BF16"),"")</f>
        <v/>
      </c>
      <c r="AF112" s="28" t="str">
        <f aca="false">IFERROR((Q112-AE112)/AE112*100,"")</f>
        <v/>
      </c>
    </row>
    <row r="113" customFormat="false" ht="15" hidden="false" customHeight="false" outlineLevel="0" collapsed="false">
      <c r="AD113" s="25" t="str">
        <f aca="false">IFERROR(1.96*R113/SQRT(J113*K113),"")</f>
        <v/>
      </c>
      <c r="AE113" s="25" t="str">
        <f aca="false">IFERROR(AVERAGEIFS(Q$2:Q$300,C$2:C$300,C113,G$2:G$300,G113,D$2:D$300,"BF16"),"")</f>
        <v/>
      </c>
      <c r="AF113" s="28" t="str">
        <f aca="false">IFERROR((Q113-AE113)/AE113*100,"")</f>
        <v/>
      </c>
    </row>
    <row r="114" customFormat="false" ht="15" hidden="false" customHeight="false" outlineLevel="0" collapsed="false">
      <c r="AD114" s="25" t="str">
        <f aca="false">IFERROR(1.96*R114/SQRT(J114*K114),"")</f>
        <v/>
      </c>
      <c r="AE114" s="25" t="str">
        <f aca="false">IFERROR(AVERAGEIFS(Q$2:Q$300,C$2:C$300,C114,G$2:G$300,G114,D$2:D$300,"BF16"),"")</f>
        <v/>
      </c>
      <c r="AF114" s="28" t="str">
        <f aca="false">IFERROR((Q114-AE114)/AE114*100,"")</f>
        <v/>
      </c>
    </row>
    <row r="115" customFormat="false" ht="15" hidden="false" customHeight="false" outlineLevel="0" collapsed="false">
      <c r="AD115" s="25" t="str">
        <f aca="false">IFERROR(1.96*R115/SQRT(J115*K115),"")</f>
        <v/>
      </c>
      <c r="AE115" s="25" t="str">
        <f aca="false">IFERROR(AVERAGEIFS(Q$2:Q$300,C$2:C$300,C115,G$2:G$300,G115,D$2:D$300,"BF16"),"")</f>
        <v/>
      </c>
      <c r="AF115" s="28" t="str">
        <f aca="false">IFERROR((Q115-AE115)/AE115*100,"")</f>
        <v/>
      </c>
    </row>
    <row r="116" customFormat="false" ht="15" hidden="false" customHeight="false" outlineLevel="0" collapsed="false">
      <c r="AD116" s="25" t="str">
        <f aca="false">IFERROR(1.96*R116/SQRT(J116*K116),"")</f>
        <v/>
      </c>
      <c r="AE116" s="25" t="str">
        <f aca="false">IFERROR(AVERAGEIFS(Q$2:Q$300,C$2:C$300,C116,G$2:G$300,G116,D$2:D$300,"BF16"),"")</f>
        <v/>
      </c>
      <c r="AF116" s="28" t="str">
        <f aca="false">IFERROR((Q116-AE116)/AE116*100,"")</f>
        <v/>
      </c>
    </row>
    <row r="117" customFormat="false" ht="15" hidden="false" customHeight="false" outlineLevel="0" collapsed="false">
      <c r="AD117" s="25" t="str">
        <f aca="false">IFERROR(1.96*R117/SQRT(J117*K117),"")</f>
        <v/>
      </c>
      <c r="AE117" s="25" t="str">
        <f aca="false">IFERROR(AVERAGEIFS(Q$2:Q$300,C$2:C$300,C117,G$2:G$300,G117,D$2:D$300,"BF16"),"")</f>
        <v/>
      </c>
      <c r="AF117" s="28" t="str">
        <f aca="false">IFERROR((Q117-AE117)/AE117*100,"")</f>
        <v/>
      </c>
    </row>
    <row r="118" customFormat="false" ht="15" hidden="false" customHeight="false" outlineLevel="0" collapsed="false">
      <c r="AD118" s="25" t="str">
        <f aca="false">IFERROR(1.96*R118/SQRT(J118*K118),"")</f>
        <v/>
      </c>
      <c r="AE118" s="25" t="str">
        <f aca="false">IFERROR(AVERAGEIFS(Q$2:Q$300,C$2:C$300,C118,G$2:G$300,G118,D$2:D$300,"BF16"),"")</f>
        <v/>
      </c>
      <c r="AF118" s="28" t="str">
        <f aca="false">IFERROR((Q118-AE118)/AE118*100,"")</f>
        <v/>
      </c>
    </row>
    <row r="119" customFormat="false" ht="15" hidden="false" customHeight="false" outlineLevel="0" collapsed="false">
      <c r="AD119" s="25" t="str">
        <f aca="false">IFERROR(1.96*R119/SQRT(J119*K119),"")</f>
        <v/>
      </c>
      <c r="AE119" s="25" t="str">
        <f aca="false">IFERROR(AVERAGEIFS(Q$2:Q$300,C$2:C$300,C119,G$2:G$300,G119,D$2:D$300,"BF16"),"")</f>
        <v/>
      </c>
      <c r="AF119" s="28" t="str">
        <f aca="false">IFERROR((Q119-AE119)/AE119*100,"")</f>
        <v/>
      </c>
    </row>
    <row r="120" customFormat="false" ht="15" hidden="false" customHeight="false" outlineLevel="0" collapsed="false">
      <c r="AD120" s="25" t="str">
        <f aca="false">IFERROR(1.96*R120/SQRT(J120*K120),"")</f>
        <v/>
      </c>
      <c r="AE120" s="25" t="str">
        <f aca="false">IFERROR(AVERAGEIFS(Q$2:Q$300,C$2:C$300,C120,G$2:G$300,G120,D$2:D$300,"BF16"),"")</f>
        <v/>
      </c>
      <c r="AF120" s="28" t="str">
        <f aca="false">IFERROR((Q120-AE120)/AE120*100,"")</f>
        <v/>
      </c>
    </row>
    <row r="121" customFormat="false" ht="15" hidden="false" customHeight="false" outlineLevel="0" collapsed="false">
      <c r="AD121" s="25" t="str">
        <f aca="false">IFERROR(1.96*R121/SQRT(J121*K121),"")</f>
        <v/>
      </c>
      <c r="AE121" s="25" t="str">
        <f aca="false">IFERROR(AVERAGEIFS(Q$2:Q$300,C$2:C$300,C121,G$2:G$300,G121,D$2:D$300,"BF16"),"")</f>
        <v/>
      </c>
      <c r="AF121" s="28" t="str">
        <f aca="false">IFERROR((Q121-AE121)/AE121*100,"")</f>
        <v/>
      </c>
    </row>
    <row r="122" customFormat="false" ht="15" hidden="false" customHeight="false" outlineLevel="0" collapsed="false">
      <c r="AD122" s="25" t="str">
        <f aca="false">IFERROR(1.96*R122/SQRT(J122*K122),"")</f>
        <v/>
      </c>
      <c r="AE122" s="25" t="str">
        <f aca="false">IFERROR(AVERAGEIFS(Q$2:Q$300,C$2:C$300,C122,G$2:G$300,G122,D$2:D$300,"BF16"),"")</f>
        <v/>
      </c>
      <c r="AF122" s="28" t="str">
        <f aca="false">IFERROR((Q122-AE122)/AE122*100,"")</f>
        <v/>
      </c>
    </row>
    <row r="123" customFormat="false" ht="15" hidden="false" customHeight="false" outlineLevel="0" collapsed="false">
      <c r="AD123" s="25" t="str">
        <f aca="false">IFERROR(1.96*R123/SQRT(J123*K123),"")</f>
        <v/>
      </c>
      <c r="AE123" s="25" t="str">
        <f aca="false">IFERROR(AVERAGEIFS(Q$2:Q$300,C$2:C$300,C123,G$2:G$300,G123,D$2:D$300,"BF16"),"")</f>
        <v/>
      </c>
      <c r="AF123" s="28" t="str">
        <f aca="false">IFERROR((Q123-AE123)/AE123*100,"")</f>
        <v/>
      </c>
    </row>
    <row r="124" customFormat="false" ht="15" hidden="false" customHeight="false" outlineLevel="0" collapsed="false">
      <c r="AD124" s="25" t="str">
        <f aca="false">IFERROR(1.96*R124/SQRT(J124*K124),"")</f>
        <v/>
      </c>
      <c r="AE124" s="25" t="str">
        <f aca="false">IFERROR(AVERAGEIFS(Q$2:Q$300,C$2:C$300,C124,G$2:G$300,G124,D$2:D$300,"BF16"),"")</f>
        <v/>
      </c>
      <c r="AF124" s="28" t="str">
        <f aca="false">IFERROR((Q124-AE124)/AE124*100,"")</f>
        <v/>
      </c>
    </row>
    <row r="125" customFormat="false" ht="15" hidden="false" customHeight="false" outlineLevel="0" collapsed="false">
      <c r="AD125" s="25" t="str">
        <f aca="false">IFERROR(1.96*R125/SQRT(J125*K125),"")</f>
        <v/>
      </c>
      <c r="AE125" s="25" t="str">
        <f aca="false">IFERROR(AVERAGEIFS(Q$2:Q$300,C$2:C$300,C125,G$2:G$300,G125,D$2:D$300,"BF16"),"")</f>
        <v/>
      </c>
      <c r="AF125" s="28" t="str">
        <f aca="false">IFERROR((Q125-AE125)/AE125*100,"")</f>
        <v/>
      </c>
    </row>
    <row r="126" customFormat="false" ht="15" hidden="false" customHeight="false" outlineLevel="0" collapsed="false">
      <c r="AD126" s="25" t="str">
        <f aca="false">IFERROR(1.96*R126/SQRT(J126*K126),"")</f>
        <v/>
      </c>
      <c r="AE126" s="25" t="str">
        <f aca="false">IFERROR(AVERAGEIFS(Q$2:Q$300,C$2:C$300,C126,G$2:G$300,G126,D$2:D$300,"BF16"),"")</f>
        <v/>
      </c>
      <c r="AF126" s="28" t="str">
        <f aca="false">IFERROR((Q126-AE126)/AE126*100,"")</f>
        <v/>
      </c>
    </row>
    <row r="127" customFormat="false" ht="15" hidden="false" customHeight="false" outlineLevel="0" collapsed="false">
      <c r="AD127" s="25" t="str">
        <f aca="false">IFERROR(1.96*R127/SQRT(J127*K127),"")</f>
        <v/>
      </c>
      <c r="AE127" s="25" t="str">
        <f aca="false">IFERROR(AVERAGEIFS(Q$2:Q$300,C$2:C$300,C127,G$2:G$300,G127,D$2:D$300,"BF16"),"")</f>
        <v/>
      </c>
      <c r="AF127" s="28" t="str">
        <f aca="false">IFERROR((Q127-AE127)/AE127*100,"")</f>
        <v/>
      </c>
    </row>
    <row r="128" customFormat="false" ht="15" hidden="false" customHeight="false" outlineLevel="0" collapsed="false">
      <c r="AD128" s="25" t="str">
        <f aca="false">IFERROR(1.96*R128/SQRT(J128*K128),"")</f>
        <v/>
      </c>
      <c r="AE128" s="25" t="str">
        <f aca="false">IFERROR(AVERAGEIFS(Q$2:Q$300,C$2:C$300,C128,G$2:G$300,G128,D$2:D$300,"BF16"),"")</f>
        <v/>
      </c>
      <c r="AF128" s="28" t="str">
        <f aca="false">IFERROR((Q128-AE128)/AE128*100,"")</f>
        <v/>
      </c>
    </row>
    <row r="129" customFormat="false" ht="15" hidden="false" customHeight="false" outlineLevel="0" collapsed="false">
      <c r="AD129" s="25" t="str">
        <f aca="false">IFERROR(1.96*R129/SQRT(J129*K129),"")</f>
        <v/>
      </c>
      <c r="AE129" s="25" t="str">
        <f aca="false">IFERROR(AVERAGEIFS(Q$2:Q$300,C$2:C$300,C129,G$2:G$300,G129,D$2:D$300,"BF16"),"")</f>
        <v/>
      </c>
      <c r="AF129" s="28" t="str">
        <f aca="false">IFERROR((Q129-AE129)/AE129*100,"")</f>
        <v/>
      </c>
    </row>
    <row r="130" customFormat="false" ht="15" hidden="false" customHeight="false" outlineLevel="0" collapsed="false">
      <c r="AD130" s="25" t="str">
        <f aca="false">IFERROR(1.96*R130/SQRT(J130*K130),"")</f>
        <v/>
      </c>
      <c r="AE130" s="25" t="str">
        <f aca="false">IFERROR(AVERAGEIFS(Q$2:Q$300,C$2:C$300,C130,G$2:G$300,G130,D$2:D$300,"BF16"),"")</f>
        <v/>
      </c>
      <c r="AF130" s="28" t="str">
        <f aca="false">IFERROR((Q130-AE130)/AE130*100,"")</f>
        <v/>
      </c>
    </row>
    <row r="131" customFormat="false" ht="15" hidden="false" customHeight="false" outlineLevel="0" collapsed="false">
      <c r="AD131" s="25" t="str">
        <f aca="false">IFERROR(1.96*R131/SQRT(J131*K131),"")</f>
        <v/>
      </c>
      <c r="AE131" s="25" t="str">
        <f aca="false">IFERROR(AVERAGEIFS(Q$2:Q$300,C$2:C$300,C131,G$2:G$300,G131,D$2:D$300,"BF16"),"")</f>
        <v/>
      </c>
      <c r="AF131" s="28" t="str">
        <f aca="false">IFERROR((Q131-AE131)/AE131*100,"")</f>
        <v/>
      </c>
    </row>
    <row r="132" customFormat="false" ht="15" hidden="false" customHeight="false" outlineLevel="0" collapsed="false">
      <c r="AD132" s="25" t="str">
        <f aca="false">IFERROR(1.96*R132/SQRT(J132*K132),"")</f>
        <v/>
      </c>
      <c r="AE132" s="25" t="str">
        <f aca="false">IFERROR(AVERAGEIFS(Q$2:Q$300,C$2:C$300,C132,G$2:G$300,G132,D$2:D$300,"BF16"),"")</f>
        <v/>
      </c>
      <c r="AF132" s="28" t="str">
        <f aca="false">IFERROR((Q132-AE132)/AE132*100,"")</f>
        <v/>
      </c>
    </row>
    <row r="133" customFormat="false" ht="15" hidden="false" customHeight="false" outlineLevel="0" collapsed="false">
      <c r="AD133" s="25" t="str">
        <f aca="false">IFERROR(1.96*R133/SQRT(J133*K133),"")</f>
        <v/>
      </c>
      <c r="AE133" s="25" t="str">
        <f aca="false">IFERROR(AVERAGEIFS(Q$2:Q$300,C$2:C$300,C133,G$2:G$300,G133,D$2:D$300,"BF16"),"")</f>
        <v/>
      </c>
      <c r="AF133" s="28" t="str">
        <f aca="false">IFERROR((Q133-AE133)/AE133*100,"")</f>
        <v/>
      </c>
    </row>
    <row r="134" customFormat="false" ht="15" hidden="false" customHeight="false" outlineLevel="0" collapsed="false">
      <c r="AD134" s="25" t="str">
        <f aca="false">IFERROR(1.96*R134/SQRT(J134*K134),"")</f>
        <v/>
      </c>
      <c r="AE134" s="25" t="str">
        <f aca="false">IFERROR(AVERAGEIFS(Q$2:Q$300,C$2:C$300,C134,G$2:G$300,G134,D$2:D$300,"BF16"),"")</f>
        <v/>
      </c>
      <c r="AF134" s="28" t="str">
        <f aca="false">IFERROR((Q134-AE134)/AE134*100,"")</f>
        <v/>
      </c>
    </row>
    <row r="135" customFormat="false" ht="15" hidden="false" customHeight="false" outlineLevel="0" collapsed="false">
      <c r="AD135" s="25" t="str">
        <f aca="false">IFERROR(1.96*R135/SQRT(J135*K135),"")</f>
        <v/>
      </c>
      <c r="AE135" s="25" t="str">
        <f aca="false">IFERROR(AVERAGEIFS(Q$2:Q$300,C$2:C$300,C135,G$2:G$300,G135,D$2:D$300,"BF16"),"")</f>
        <v/>
      </c>
      <c r="AF135" s="28" t="str">
        <f aca="false">IFERROR((Q135-AE135)/AE135*100,"")</f>
        <v/>
      </c>
    </row>
    <row r="136" customFormat="false" ht="15" hidden="false" customHeight="false" outlineLevel="0" collapsed="false">
      <c r="AD136" s="25" t="str">
        <f aca="false">IFERROR(1.96*R136/SQRT(J136*K136),"")</f>
        <v/>
      </c>
      <c r="AE136" s="25" t="str">
        <f aca="false">IFERROR(AVERAGEIFS(Q$2:Q$300,C$2:C$300,C136,G$2:G$300,G136,D$2:D$300,"BF16"),"")</f>
        <v/>
      </c>
      <c r="AF136" s="28" t="str">
        <f aca="false">IFERROR((Q136-AE136)/AE136*100,"")</f>
        <v/>
      </c>
    </row>
    <row r="137" customFormat="false" ht="15" hidden="false" customHeight="false" outlineLevel="0" collapsed="false">
      <c r="AD137" s="25" t="str">
        <f aca="false">IFERROR(1.96*R137/SQRT(J137*K137),"")</f>
        <v/>
      </c>
      <c r="AE137" s="25" t="str">
        <f aca="false">IFERROR(AVERAGEIFS(Q$2:Q$300,C$2:C$300,C137,G$2:G$300,G137,D$2:D$300,"BF16"),"")</f>
        <v/>
      </c>
      <c r="AF137" s="28" t="str">
        <f aca="false">IFERROR((Q137-AE137)/AE137*100,"")</f>
        <v/>
      </c>
    </row>
    <row r="138" customFormat="false" ht="15" hidden="false" customHeight="false" outlineLevel="0" collapsed="false">
      <c r="AD138" s="25" t="str">
        <f aca="false">IFERROR(1.96*R138/SQRT(J138*K138),"")</f>
        <v/>
      </c>
      <c r="AE138" s="25" t="str">
        <f aca="false">IFERROR(AVERAGEIFS(Q$2:Q$300,C$2:C$300,C138,G$2:G$300,G138,D$2:D$300,"BF16"),"")</f>
        <v/>
      </c>
      <c r="AF138" s="28" t="str">
        <f aca="false">IFERROR((Q138-AE138)/AE138*100,"")</f>
        <v/>
      </c>
    </row>
    <row r="139" customFormat="false" ht="15" hidden="false" customHeight="false" outlineLevel="0" collapsed="false">
      <c r="AD139" s="25" t="str">
        <f aca="false">IFERROR(1.96*R139/SQRT(J139*K139),"")</f>
        <v/>
      </c>
      <c r="AE139" s="25" t="str">
        <f aca="false">IFERROR(AVERAGEIFS(Q$2:Q$300,C$2:C$300,C139,G$2:G$300,G139,D$2:D$300,"BF16"),"")</f>
        <v/>
      </c>
      <c r="AF139" s="28" t="str">
        <f aca="false">IFERROR((Q139-AE139)/AE139*100,"")</f>
        <v/>
      </c>
    </row>
    <row r="140" customFormat="false" ht="15" hidden="false" customHeight="false" outlineLevel="0" collapsed="false">
      <c r="AD140" s="25" t="str">
        <f aca="false">IFERROR(1.96*R140/SQRT(J140*K140),"")</f>
        <v/>
      </c>
      <c r="AE140" s="25" t="str">
        <f aca="false">IFERROR(AVERAGEIFS(Q$2:Q$300,C$2:C$300,C140,G$2:G$300,G140,D$2:D$300,"BF16"),"")</f>
        <v/>
      </c>
      <c r="AF140" s="28" t="str">
        <f aca="false">IFERROR((Q140-AE140)/AE140*100,"")</f>
        <v/>
      </c>
    </row>
    <row r="141" customFormat="false" ht="15" hidden="false" customHeight="false" outlineLevel="0" collapsed="false">
      <c r="AD141" s="25" t="str">
        <f aca="false">IFERROR(1.96*R141/SQRT(J141*K141),"")</f>
        <v/>
      </c>
      <c r="AE141" s="25" t="str">
        <f aca="false">IFERROR(AVERAGEIFS(Q$2:Q$300,C$2:C$300,C141,G$2:G$300,G141,D$2:D$300,"BF16"),"")</f>
        <v/>
      </c>
      <c r="AF141" s="28" t="str">
        <f aca="false">IFERROR((Q141-AE141)/AE141*100,"")</f>
        <v/>
      </c>
    </row>
    <row r="142" customFormat="false" ht="15" hidden="false" customHeight="false" outlineLevel="0" collapsed="false">
      <c r="AD142" s="25" t="str">
        <f aca="false">IFERROR(1.96*R142/SQRT(J142*K142),"")</f>
        <v/>
      </c>
      <c r="AE142" s="25" t="str">
        <f aca="false">IFERROR(AVERAGEIFS(Q$2:Q$300,C$2:C$300,C142,G$2:G$300,G142,D$2:D$300,"BF16"),"")</f>
        <v/>
      </c>
      <c r="AF142" s="28" t="str">
        <f aca="false">IFERROR((Q142-AE142)/AE142*100,"")</f>
        <v/>
      </c>
    </row>
    <row r="143" customFormat="false" ht="15" hidden="false" customHeight="false" outlineLevel="0" collapsed="false">
      <c r="AD143" s="25" t="str">
        <f aca="false">IFERROR(1.96*R143/SQRT(J143*K143),"")</f>
        <v/>
      </c>
      <c r="AE143" s="25" t="str">
        <f aca="false">IFERROR(AVERAGEIFS(Q$2:Q$300,C$2:C$300,C143,G$2:G$300,G143,D$2:D$300,"BF16"),"")</f>
        <v/>
      </c>
      <c r="AF143" s="28" t="str">
        <f aca="false">IFERROR((Q143-AE143)/AE143*100,"")</f>
        <v/>
      </c>
    </row>
    <row r="144" customFormat="false" ht="15" hidden="false" customHeight="false" outlineLevel="0" collapsed="false">
      <c r="AD144" s="25" t="str">
        <f aca="false">IFERROR(1.96*R144/SQRT(J144*K144),"")</f>
        <v/>
      </c>
      <c r="AE144" s="25" t="str">
        <f aca="false">IFERROR(AVERAGEIFS(Q$2:Q$300,C$2:C$300,C144,G$2:G$300,G144,D$2:D$300,"BF16"),"")</f>
        <v/>
      </c>
      <c r="AF144" s="28" t="str">
        <f aca="false">IFERROR((Q144-AE144)/AE144*100,"")</f>
        <v/>
      </c>
    </row>
    <row r="145" customFormat="false" ht="15" hidden="false" customHeight="false" outlineLevel="0" collapsed="false">
      <c r="AD145" s="25" t="str">
        <f aca="false">IFERROR(1.96*R145/SQRT(J145*K145),"")</f>
        <v/>
      </c>
      <c r="AE145" s="25" t="str">
        <f aca="false">IFERROR(AVERAGEIFS(Q$2:Q$300,C$2:C$300,C145,G$2:G$300,G145,D$2:D$300,"BF16"),"")</f>
        <v/>
      </c>
      <c r="AF145" s="28" t="str">
        <f aca="false">IFERROR((Q145-AE145)/AE145*100,"")</f>
        <v/>
      </c>
    </row>
    <row r="146" customFormat="false" ht="15" hidden="false" customHeight="false" outlineLevel="0" collapsed="false">
      <c r="AD146" s="25" t="str">
        <f aca="false">IFERROR(1.96*R146/SQRT(J146*K146),"")</f>
        <v/>
      </c>
      <c r="AE146" s="25" t="str">
        <f aca="false">IFERROR(AVERAGEIFS(Q$2:Q$300,C$2:C$300,C146,G$2:G$300,G146,D$2:D$300,"BF16"),"")</f>
        <v/>
      </c>
      <c r="AF146" s="28" t="str">
        <f aca="false">IFERROR((Q146-AE146)/AE146*100,"")</f>
        <v/>
      </c>
    </row>
    <row r="147" customFormat="false" ht="15" hidden="false" customHeight="false" outlineLevel="0" collapsed="false">
      <c r="AD147" s="25" t="str">
        <f aca="false">IFERROR(1.96*R147/SQRT(J147*K147),"")</f>
        <v/>
      </c>
      <c r="AE147" s="25" t="str">
        <f aca="false">IFERROR(AVERAGEIFS(Q$2:Q$300,C$2:C$300,C147,G$2:G$300,G147,D$2:D$300,"BF16"),"")</f>
        <v/>
      </c>
      <c r="AF147" s="28" t="str">
        <f aca="false">IFERROR((Q147-AE147)/AE147*100,"")</f>
        <v/>
      </c>
    </row>
    <row r="148" customFormat="false" ht="15" hidden="false" customHeight="false" outlineLevel="0" collapsed="false">
      <c r="AD148" s="25" t="str">
        <f aca="false">IFERROR(1.96*R148/SQRT(J148*K148),"")</f>
        <v/>
      </c>
      <c r="AE148" s="25" t="str">
        <f aca="false">IFERROR(AVERAGEIFS(Q$2:Q$300,C$2:C$300,C148,G$2:G$300,G148,D$2:D$300,"BF16"),"")</f>
        <v/>
      </c>
      <c r="AF148" s="28" t="str">
        <f aca="false">IFERROR((Q148-AE148)/AE148*100,"")</f>
        <v/>
      </c>
    </row>
    <row r="149" customFormat="false" ht="15" hidden="false" customHeight="false" outlineLevel="0" collapsed="false">
      <c r="AD149" s="25" t="str">
        <f aca="false">IFERROR(1.96*R149/SQRT(J149*K149),"")</f>
        <v/>
      </c>
      <c r="AE149" s="25" t="str">
        <f aca="false">IFERROR(AVERAGEIFS(Q$2:Q$300,C$2:C$300,C149,G$2:G$300,G149,D$2:D$300,"BF16"),"")</f>
        <v/>
      </c>
      <c r="AF149" s="28" t="str">
        <f aca="false">IFERROR((Q149-AE149)/AE149*100,"")</f>
        <v/>
      </c>
    </row>
    <row r="150" customFormat="false" ht="15" hidden="false" customHeight="false" outlineLevel="0" collapsed="false">
      <c r="AD150" s="25" t="str">
        <f aca="false">IFERROR(1.96*R150/SQRT(J150*K150),"")</f>
        <v/>
      </c>
      <c r="AE150" s="25" t="str">
        <f aca="false">IFERROR(AVERAGEIFS(Q$2:Q$300,C$2:C$300,C150,G$2:G$300,G150,D$2:D$300,"BF16"),"")</f>
        <v/>
      </c>
      <c r="AF150" s="28" t="str">
        <f aca="false">IFERROR((Q150-AE150)/AE150*100,"")</f>
        <v/>
      </c>
    </row>
    <row r="151" customFormat="false" ht="15" hidden="false" customHeight="false" outlineLevel="0" collapsed="false">
      <c r="AD151" s="25" t="str">
        <f aca="false">IFERROR(1.96*R151/SQRT(J151*K151),"")</f>
        <v/>
      </c>
      <c r="AE151" s="25" t="str">
        <f aca="false">IFERROR(AVERAGEIFS(Q$2:Q$300,C$2:C$300,C151,G$2:G$300,G151,D$2:D$300,"BF16"),"")</f>
        <v/>
      </c>
      <c r="AF151" s="28" t="str">
        <f aca="false">IFERROR((Q151-AE151)/AE151*100,"")</f>
        <v/>
      </c>
    </row>
    <row r="152" customFormat="false" ht="15" hidden="false" customHeight="false" outlineLevel="0" collapsed="false">
      <c r="AD152" s="25" t="str">
        <f aca="false">IFERROR(1.96*R152/SQRT(J152*K152),"")</f>
        <v/>
      </c>
      <c r="AE152" s="25" t="str">
        <f aca="false">IFERROR(AVERAGEIFS(Q$2:Q$300,C$2:C$300,C152,G$2:G$300,G152,D$2:D$300,"BF16"),"")</f>
        <v/>
      </c>
      <c r="AF152" s="28" t="str">
        <f aca="false">IFERROR((Q152-AE152)/AE152*100,"")</f>
        <v/>
      </c>
    </row>
    <row r="153" customFormat="false" ht="15" hidden="false" customHeight="false" outlineLevel="0" collapsed="false">
      <c r="AD153" s="25" t="str">
        <f aca="false">IFERROR(1.96*R153/SQRT(J153*K153),"")</f>
        <v/>
      </c>
      <c r="AE153" s="25" t="str">
        <f aca="false">IFERROR(AVERAGEIFS(Q$2:Q$300,C$2:C$300,C153,G$2:G$300,G153,D$2:D$300,"BF16"),"")</f>
        <v/>
      </c>
      <c r="AF153" s="28" t="str">
        <f aca="false">IFERROR((Q153-AE153)/AE153*100,"")</f>
        <v/>
      </c>
    </row>
    <row r="154" customFormat="false" ht="15" hidden="false" customHeight="false" outlineLevel="0" collapsed="false">
      <c r="AD154" s="25" t="str">
        <f aca="false">IFERROR(1.96*R154/SQRT(J154*K154),"")</f>
        <v/>
      </c>
      <c r="AE154" s="25" t="str">
        <f aca="false">IFERROR(AVERAGEIFS(Q$2:Q$300,C$2:C$300,C154,G$2:G$300,G154,D$2:D$300,"BF16"),"")</f>
        <v/>
      </c>
      <c r="AF154" s="28" t="str">
        <f aca="false">IFERROR((Q154-AE154)/AE154*100,"")</f>
        <v/>
      </c>
    </row>
    <row r="155" customFormat="false" ht="15" hidden="false" customHeight="false" outlineLevel="0" collapsed="false">
      <c r="AD155" s="25" t="str">
        <f aca="false">IFERROR(1.96*R155/SQRT(J155*K155),"")</f>
        <v/>
      </c>
      <c r="AE155" s="25" t="str">
        <f aca="false">IFERROR(AVERAGEIFS(Q$2:Q$300,C$2:C$300,C155,G$2:G$300,G155,D$2:D$300,"BF16"),"")</f>
        <v/>
      </c>
      <c r="AF155" s="28" t="str">
        <f aca="false">IFERROR((Q155-AE155)/AE155*100,"")</f>
        <v/>
      </c>
    </row>
    <row r="156" customFormat="false" ht="15" hidden="false" customHeight="false" outlineLevel="0" collapsed="false">
      <c r="AD156" s="25" t="str">
        <f aca="false">IFERROR(1.96*R156/SQRT(J156*K156),"")</f>
        <v/>
      </c>
      <c r="AE156" s="25" t="str">
        <f aca="false">IFERROR(AVERAGEIFS(Q$2:Q$300,C$2:C$300,C156,G$2:G$300,G156,D$2:D$300,"BF16"),"")</f>
        <v/>
      </c>
      <c r="AF156" s="28" t="str">
        <f aca="false">IFERROR((Q156-AE156)/AE156*100,"")</f>
        <v/>
      </c>
    </row>
    <row r="157" customFormat="false" ht="15" hidden="false" customHeight="false" outlineLevel="0" collapsed="false">
      <c r="AD157" s="25" t="str">
        <f aca="false">IFERROR(1.96*R157/SQRT(J157*K157),"")</f>
        <v/>
      </c>
      <c r="AE157" s="25" t="str">
        <f aca="false">IFERROR(AVERAGEIFS(Q$2:Q$300,C$2:C$300,C157,G$2:G$300,G157,D$2:D$300,"BF16"),"")</f>
        <v/>
      </c>
      <c r="AF157" s="28" t="str">
        <f aca="false">IFERROR((Q157-AE157)/AE157*100,"")</f>
        <v/>
      </c>
    </row>
    <row r="158" customFormat="false" ht="15" hidden="false" customHeight="false" outlineLevel="0" collapsed="false">
      <c r="AD158" s="25" t="str">
        <f aca="false">IFERROR(1.96*R158/SQRT(J158*K158),"")</f>
        <v/>
      </c>
      <c r="AE158" s="25" t="str">
        <f aca="false">IFERROR(AVERAGEIFS(Q$2:Q$300,C$2:C$300,C158,G$2:G$300,G158,D$2:D$300,"BF16"),"")</f>
        <v/>
      </c>
      <c r="AF158" s="28" t="str">
        <f aca="false">IFERROR((Q158-AE158)/AE158*100,"")</f>
        <v/>
      </c>
    </row>
    <row r="159" customFormat="false" ht="15" hidden="false" customHeight="false" outlineLevel="0" collapsed="false">
      <c r="AD159" s="25" t="str">
        <f aca="false">IFERROR(1.96*R159/SQRT(J159*K159),"")</f>
        <v/>
      </c>
      <c r="AE159" s="25" t="str">
        <f aca="false">IFERROR(AVERAGEIFS(Q$2:Q$300,C$2:C$300,C159,G$2:G$300,G159,D$2:D$300,"BF16"),"")</f>
        <v/>
      </c>
      <c r="AF159" s="28" t="str">
        <f aca="false">IFERROR((Q159-AE159)/AE159*100,"")</f>
        <v/>
      </c>
    </row>
    <row r="160" customFormat="false" ht="15" hidden="false" customHeight="false" outlineLevel="0" collapsed="false">
      <c r="AD160" s="25" t="str">
        <f aca="false">IFERROR(1.96*R160/SQRT(J160*K160),"")</f>
        <v/>
      </c>
      <c r="AE160" s="25" t="str">
        <f aca="false">IFERROR(AVERAGEIFS(Q$2:Q$300,C$2:C$300,C160,G$2:G$300,G160,D$2:D$300,"BF16"),"")</f>
        <v/>
      </c>
      <c r="AF160" s="28" t="str">
        <f aca="false">IFERROR((Q160-AE160)/AE160*100,"")</f>
        <v/>
      </c>
    </row>
    <row r="161" customFormat="false" ht="15" hidden="false" customHeight="false" outlineLevel="0" collapsed="false">
      <c r="AD161" s="25" t="str">
        <f aca="false">IFERROR(1.96*R161/SQRT(J161*K161),"")</f>
        <v/>
      </c>
      <c r="AE161" s="25" t="str">
        <f aca="false">IFERROR(AVERAGEIFS(Q$2:Q$300,C$2:C$300,C161,G$2:G$300,G161,D$2:D$300,"BF16"),"")</f>
        <v/>
      </c>
      <c r="AF161" s="28" t="str">
        <f aca="false">IFERROR((Q161-AE161)/AE161*100,"")</f>
        <v/>
      </c>
    </row>
    <row r="162" customFormat="false" ht="15" hidden="false" customHeight="false" outlineLevel="0" collapsed="false">
      <c r="AD162" s="25" t="str">
        <f aca="false">IFERROR(1.96*R162/SQRT(J162*K162),"")</f>
        <v/>
      </c>
      <c r="AE162" s="25" t="str">
        <f aca="false">IFERROR(AVERAGEIFS(Q$2:Q$300,C$2:C$300,C162,G$2:G$300,G162,D$2:D$300,"BF16"),"")</f>
        <v/>
      </c>
      <c r="AF162" s="28" t="str">
        <f aca="false">IFERROR((Q162-AE162)/AE162*100,"")</f>
        <v/>
      </c>
    </row>
    <row r="163" customFormat="false" ht="15" hidden="false" customHeight="false" outlineLevel="0" collapsed="false">
      <c r="AD163" s="25" t="str">
        <f aca="false">IFERROR(1.96*R163/SQRT(J163*K163),"")</f>
        <v/>
      </c>
      <c r="AE163" s="25" t="str">
        <f aca="false">IFERROR(AVERAGEIFS(Q$2:Q$300,C$2:C$300,C163,G$2:G$300,G163,D$2:D$300,"BF16"),"")</f>
        <v/>
      </c>
      <c r="AF163" s="28" t="str">
        <f aca="false">IFERROR((Q163-AE163)/AE163*100,"")</f>
        <v/>
      </c>
    </row>
    <row r="164" customFormat="false" ht="15" hidden="false" customHeight="false" outlineLevel="0" collapsed="false">
      <c r="AD164" s="25" t="str">
        <f aca="false">IFERROR(1.96*R164/SQRT(J164*K164),"")</f>
        <v/>
      </c>
      <c r="AE164" s="25" t="str">
        <f aca="false">IFERROR(AVERAGEIFS(Q$2:Q$300,C$2:C$300,C164,G$2:G$300,G164,D$2:D$300,"BF16"),"")</f>
        <v/>
      </c>
      <c r="AF164" s="28" t="str">
        <f aca="false">IFERROR((Q164-AE164)/AE164*100,"")</f>
        <v/>
      </c>
    </row>
    <row r="165" customFormat="false" ht="15" hidden="false" customHeight="false" outlineLevel="0" collapsed="false">
      <c r="AD165" s="25" t="str">
        <f aca="false">IFERROR(1.96*R165/SQRT(J165*K165),"")</f>
        <v/>
      </c>
      <c r="AE165" s="25" t="str">
        <f aca="false">IFERROR(AVERAGEIFS(Q$2:Q$300,C$2:C$300,C165,G$2:G$300,G165,D$2:D$300,"BF16"),"")</f>
        <v/>
      </c>
      <c r="AF165" s="28" t="str">
        <f aca="false">IFERROR((Q165-AE165)/AE165*100,"")</f>
        <v/>
      </c>
    </row>
    <row r="166" customFormat="false" ht="15" hidden="false" customHeight="false" outlineLevel="0" collapsed="false">
      <c r="AD166" s="25" t="str">
        <f aca="false">IFERROR(1.96*R166/SQRT(J166*K166),"")</f>
        <v/>
      </c>
      <c r="AE166" s="25" t="str">
        <f aca="false">IFERROR(AVERAGEIFS(Q$2:Q$300,C$2:C$300,C166,G$2:G$300,G166,D$2:D$300,"BF16"),"")</f>
        <v/>
      </c>
      <c r="AF166" s="28" t="str">
        <f aca="false">IFERROR((Q166-AE166)/AE166*100,"")</f>
        <v/>
      </c>
    </row>
    <row r="167" customFormat="false" ht="15" hidden="false" customHeight="false" outlineLevel="0" collapsed="false">
      <c r="AD167" s="25" t="str">
        <f aca="false">IFERROR(1.96*R167/SQRT(J167*K167),"")</f>
        <v/>
      </c>
      <c r="AE167" s="25" t="str">
        <f aca="false">IFERROR(AVERAGEIFS(Q$2:Q$300,C$2:C$300,C167,G$2:G$300,G167,D$2:D$300,"BF16"),"")</f>
        <v/>
      </c>
      <c r="AF167" s="28" t="str">
        <f aca="false">IFERROR((Q167-AE167)/AE167*100,"")</f>
        <v/>
      </c>
    </row>
    <row r="168" customFormat="false" ht="15" hidden="false" customHeight="false" outlineLevel="0" collapsed="false">
      <c r="AD168" s="25" t="str">
        <f aca="false">IFERROR(1.96*R168/SQRT(J168*K168),"")</f>
        <v/>
      </c>
      <c r="AE168" s="25" t="str">
        <f aca="false">IFERROR(AVERAGEIFS(Q$2:Q$300,C$2:C$300,C168,G$2:G$300,G168,D$2:D$300,"BF16"),"")</f>
        <v/>
      </c>
      <c r="AF168" s="28" t="str">
        <f aca="false">IFERROR((Q168-AE168)/AE168*100,"")</f>
        <v/>
      </c>
    </row>
    <row r="169" customFormat="false" ht="15" hidden="false" customHeight="false" outlineLevel="0" collapsed="false">
      <c r="AD169" s="25" t="str">
        <f aca="false">IFERROR(1.96*R169/SQRT(J169*K169),"")</f>
        <v/>
      </c>
      <c r="AE169" s="25" t="str">
        <f aca="false">IFERROR(AVERAGEIFS(Q$2:Q$300,C$2:C$300,C169,G$2:G$300,G169,D$2:D$300,"BF16"),"")</f>
        <v/>
      </c>
      <c r="AF169" s="28" t="str">
        <f aca="false">IFERROR((Q169-AE169)/AE169*100,"")</f>
        <v/>
      </c>
    </row>
    <row r="170" customFormat="false" ht="15" hidden="false" customHeight="false" outlineLevel="0" collapsed="false">
      <c r="AD170" s="25" t="str">
        <f aca="false">IFERROR(1.96*R170/SQRT(J170*K170),"")</f>
        <v/>
      </c>
      <c r="AE170" s="25" t="str">
        <f aca="false">IFERROR(AVERAGEIFS(Q$2:Q$300,C$2:C$300,C170,G$2:G$300,G170,D$2:D$300,"BF16"),"")</f>
        <v/>
      </c>
      <c r="AF170" s="28" t="str">
        <f aca="false">IFERROR((Q170-AE170)/AE170*100,"")</f>
        <v/>
      </c>
    </row>
    <row r="171" customFormat="false" ht="15" hidden="false" customHeight="false" outlineLevel="0" collapsed="false">
      <c r="AD171" s="25" t="str">
        <f aca="false">IFERROR(1.96*R171/SQRT(J171*K171),"")</f>
        <v/>
      </c>
      <c r="AE171" s="25" t="str">
        <f aca="false">IFERROR(AVERAGEIFS(Q$2:Q$300,C$2:C$300,C171,G$2:G$300,G171,D$2:D$300,"BF16"),"")</f>
        <v/>
      </c>
      <c r="AF171" s="28" t="str">
        <f aca="false">IFERROR((Q171-AE171)/AE171*100,"")</f>
        <v/>
      </c>
    </row>
    <row r="172" customFormat="false" ht="15" hidden="false" customHeight="false" outlineLevel="0" collapsed="false">
      <c r="AD172" s="25" t="str">
        <f aca="false">IFERROR(1.96*R172/SQRT(J172*K172),"")</f>
        <v/>
      </c>
      <c r="AE172" s="25" t="str">
        <f aca="false">IFERROR(AVERAGEIFS(Q$2:Q$300,C$2:C$300,C172,G$2:G$300,G172,D$2:D$300,"BF16"),"")</f>
        <v/>
      </c>
      <c r="AF172" s="28" t="str">
        <f aca="false">IFERROR((Q172-AE172)/AE172*100,"")</f>
        <v/>
      </c>
    </row>
    <row r="173" customFormat="false" ht="15" hidden="false" customHeight="false" outlineLevel="0" collapsed="false">
      <c r="AD173" s="25" t="str">
        <f aca="false">IFERROR(1.96*R173/SQRT(J173*K173),"")</f>
        <v/>
      </c>
      <c r="AE173" s="25" t="str">
        <f aca="false">IFERROR(AVERAGEIFS(Q$2:Q$300,C$2:C$300,C173,G$2:G$300,G173,D$2:D$300,"BF16"),"")</f>
        <v/>
      </c>
      <c r="AF173" s="28" t="str">
        <f aca="false">IFERROR((Q173-AE173)/AE173*100,"")</f>
        <v/>
      </c>
    </row>
    <row r="174" customFormat="false" ht="15" hidden="false" customHeight="false" outlineLevel="0" collapsed="false">
      <c r="AD174" s="25" t="str">
        <f aca="false">IFERROR(1.96*R174/SQRT(J174*K174),"")</f>
        <v/>
      </c>
      <c r="AE174" s="25" t="str">
        <f aca="false">IFERROR(AVERAGEIFS(Q$2:Q$300,C$2:C$300,C174,G$2:G$300,G174,D$2:D$300,"BF16"),"")</f>
        <v/>
      </c>
      <c r="AF174" s="28" t="str">
        <f aca="false">IFERROR((Q174-AE174)/AE174*100,"")</f>
        <v/>
      </c>
    </row>
    <row r="175" customFormat="false" ht="15" hidden="false" customHeight="false" outlineLevel="0" collapsed="false">
      <c r="AD175" s="25" t="str">
        <f aca="false">IFERROR(1.96*R175/SQRT(J175*K175),"")</f>
        <v/>
      </c>
      <c r="AE175" s="25" t="str">
        <f aca="false">IFERROR(AVERAGEIFS(Q$2:Q$300,C$2:C$300,C175,G$2:G$300,G175,D$2:D$300,"BF16"),"")</f>
        <v/>
      </c>
      <c r="AF175" s="28" t="str">
        <f aca="false">IFERROR((Q175-AE175)/AE175*100,"")</f>
        <v/>
      </c>
    </row>
    <row r="176" customFormat="false" ht="15" hidden="false" customHeight="false" outlineLevel="0" collapsed="false">
      <c r="AD176" s="25" t="str">
        <f aca="false">IFERROR(1.96*R176/SQRT(J176*K176),"")</f>
        <v/>
      </c>
      <c r="AE176" s="25" t="str">
        <f aca="false">IFERROR(AVERAGEIFS(Q$2:Q$300,C$2:C$300,C176,G$2:G$300,G176,D$2:D$300,"BF16"),"")</f>
        <v/>
      </c>
      <c r="AF176" s="28" t="str">
        <f aca="false">IFERROR((Q176-AE176)/AE176*100,"")</f>
        <v/>
      </c>
    </row>
    <row r="177" customFormat="false" ht="15" hidden="false" customHeight="false" outlineLevel="0" collapsed="false">
      <c r="AD177" s="25" t="str">
        <f aca="false">IFERROR(1.96*R177/SQRT(J177*K177),"")</f>
        <v/>
      </c>
      <c r="AE177" s="25" t="str">
        <f aca="false">IFERROR(AVERAGEIFS(Q$2:Q$300,C$2:C$300,C177,G$2:G$300,G177,D$2:D$300,"BF16"),"")</f>
        <v/>
      </c>
      <c r="AF177" s="28" t="str">
        <f aca="false">IFERROR((Q177-AE177)/AE177*100,"")</f>
        <v/>
      </c>
    </row>
    <row r="178" customFormat="false" ht="15" hidden="false" customHeight="false" outlineLevel="0" collapsed="false">
      <c r="AD178" s="25" t="str">
        <f aca="false">IFERROR(1.96*R178/SQRT(J178*K178),"")</f>
        <v/>
      </c>
      <c r="AE178" s="25" t="str">
        <f aca="false">IFERROR(AVERAGEIFS(Q$2:Q$300,C$2:C$300,C178,G$2:G$300,G178,D$2:D$300,"BF16"),"")</f>
        <v/>
      </c>
      <c r="AF178" s="28" t="str">
        <f aca="false">IFERROR((Q178-AE178)/AE178*100,"")</f>
        <v/>
      </c>
    </row>
    <row r="179" customFormat="false" ht="15" hidden="false" customHeight="false" outlineLevel="0" collapsed="false">
      <c r="AD179" s="25" t="str">
        <f aca="false">IFERROR(1.96*R179/SQRT(J179*K179),"")</f>
        <v/>
      </c>
      <c r="AE179" s="25" t="str">
        <f aca="false">IFERROR(AVERAGEIFS(Q$2:Q$300,C$2:C$300,C179,G$2:G$300,G179,D$2:D$300,"BF16"),"")</f>
        <v/>
      </c>
      <c r="AF179" s="28" t="str">
        <f aca="false">IFERROR((Q179-AE179)/AE179*100,"")</f>
        <v/>
      </c>
    </row>
    <row r="180" customFormat="false" ht="15" hidden="false" customHeight="false" outlineLevel="0" collapsed="false">
      <c r="AD180" s="25" t="str">
        <f aca="false">IFERROR(1.96*R180/SQRT(J180*K180),"")</f>
        <v/>
      </c>
      <c r="AE180" s="25" t="str">
        <f aca="false">IFERROR(AVERAGEIFS(Q$2:Q$300,C$2:C$300,C180,G$2:G$300,G180,D$2:D$300,"BF16"),"")</f>
        <v/>
      </c>
      <c r="AF180" s="28" t="str">
        <f aca="false">IFERROR((Q180-AE180)/AE180*100,"")</f>
        <v/>
      </c>
    </row>
    <row r="181" customFormat="false" ht="15" hidden="false" customHeight="false" outlineLevel="0" collapsed="false">
      <c r="AD181" s="25" t="str">
        <f aca="false">IFERROR(1.96*R181/SQRT(J181*K181),"")</f>
        <v/>
      </c>
      <c r="AE181" s="25" t="str">
        <f aca="false">IFERROR(AVERAGEIFS(Q$2:Q$300,C$2:C$300,C181,G$2:G$300,G181,D$2:D$300,"BF16"),"")</f>
        <v/>
      </c>
      <c r="AF181" s="28" t="str">
        <f aca="false">IFERROR((Q181-AE181)/AE181*100,"")</f>
        <v/>
      </c>
    </row>
    <row r="182" customFormat="false" ht="15" hidden="false" customHeight="false" outlineLevel="0" collapsed="false">
      <c r="AD182" s="25" t="str">
        <f aca="false">IFERROR(1.96*R182/SQRT(J182*K182),"")</f>
        <v/>
      </c>
      <c r="AE182" s="25" t="str">
        <f aca="false">IFERROR(AVERAGEIFS(Q$2:Q$300,C$2:C$300,C182,G$2:G$300,G182,D$2:D$300,"BF16"),"")</f>
        <v/>
      </c>
      <c r="AF182" s="28" t="str">
        <f aca="false">IFERROR((Q182-AE182)/AE182*100,"")</f>
        <v/>
      </c>
    </row>
    <row r="183" customFormat="false" ht="15" hidden="false" customHeight="false" outlineLevel="0" collapsed="false">
      <c r="AD183" s="25" t="str">
        <f aca="false">IFERROR(1.96*R183/SQRT(J183*K183),"")</f>
        <v/>
      </c>
      <c r="AE183" s="25" t="str">
        <f aca="false">IFERROR(AVERAGEIFS(Q$2:Q$300,C$2:C$300,C183,G$2:G$300,G183,D$2:D$300,"BF16"),"")</f>
        <v/>
      </c>
      <c r="AF183" s="28" t="str">
        <f aca="false">IFERROR((Q183-AE183)/AE183*100,"")</f>
        <v/>
      </c>
    </row>
    <row r="184" customFormat="false" ht="15" hidden="false" customHeight="false" outlineLevel="0" collapsed="false">
      <c r="AD184" s="25" t="str">
        <f aca="false">IFERROR(1.96*R184/SQRT(J184*K184),"")</f>
        <v/>
      </c>
      <c r="AE184" s="25" t="str">
        <f aca="false">IFERROR(AVERAGEIFS(Q$2:Q$300,C$2:C$300,C184,G$2:G$300,G184,D$2:D$300,"BF16"),"")</f>
        <v/>
      </c>
      <c r="AF184" s="28" t="str">
        <f aca="false">IFERROR((Q184-AE184)/AE184*100,"")</f>
        <v/>
      </c>
    </row>
    <row r="185" customFormat="false" ht="15" hidden="false" customHeight="false" outlineLevel="0" collapsed="false">
      <c r="AD185" s="25" t="str">
        <f aca="false">IFERROR(1.96*R185/SQRT(J185*K185),"")</f>
        <v/>
      </c>
      <c r="AE185" s="25" t="str">
        <f aca="false">IFERROR(AVERAGEIFS(Q$2:Q$300,C$2:C$300,C185,G$2:G$300,G185,D$2:D$300,"BF16"),"")</f>
        <v/>
      </c>
      <c r="AF185" s="28" t="str">
        <f aca="false">IFERROR((Q185-AE185)/AE185*100,"")</f>
        <v/>
      </c>
    </row>
    <row r="186" customFormat="false" ht="15" hidden="false" customHeight="false" outlineLevel="0" collapsed="false">
      <c r="AD186" s="25" t="str">
        <f aca="false">IFERROR(1.96*R186/SQRT(J186*K186),"")</f>
        <v/>
      </c>
      <c r="AE186" s="25" t="str">
        <f aca="false">IFERROR(AVERAGEIFS(Q$2:Q$300,C$2:C$300,C186,G$2:G$300,G186,D$2:D$300,"BF16"),"")</f>
        <v/>
      </c>
      <c r="AF186" s="28" t="str">
        <f aca="false">IFERROR((Q186-AE186)/AE186*100,"")</f>
        <v/>
      </c>
    </row>
    <row r="187" customFormat="false" ht="15" hidden="false" customHeight="false" outlineLevel="0" collapsed="false">
      <c r="AD187" s="25" t="str">
        <f aca="false">IFERROR(1.96*R187/SQRT(J187*K187),"")</f>
        <v/>
      </c>
      <c r="AE187" s="25" t="str">
        <f aca="false">IFERROR(AVERAGEIFS(Q$2:Q$300,C$2:C$300,C187,G$2:G$300,G187,D$2:D$300,"BF16"),"")</f>
        <v/>
      </c>
      <c r="AF187" s="28" t="str">
        <f aca="false">IFERROR((Q187-AE187)/AE187*100,"")</f>
        <v/>
      </c>
    </row>
    <row r="188" customFormat="false" ht="15" hidden="false" customHeight="false" outlineLevel="0" collapsed="false">
      <c r="AD188" s="25" t="str">
        <f aca="false">IFERROR(1.96*R188/SQRT(J188*K188),"")</f>
        <v/>
      </c>
      <c r="AE188" s="25" t="str">
        <f aca="false">IFERROR(AVERAGEIFS(Q$2:Q$300,C$2:C$300,C188,G$2:G$300,G188,D$2:D$300,"BF16"),"")</f>
        <v/>
      </c>
      <c r="AF188" s="28" t="str">
        <f aca="false">IFERROR((Q188-AE188)/AE188*100,"")</f>
        <v/>
      </c>
    </row>
    <row r="189" customFormat="false" ht="15" hidden="false" customHeight="false" outlineLevel="0" collapsed="false">
      <c r="AD189" s="25" t="str">
        <f aca="false">IFERROR(1.96*R189/SQRT(J189*K189),"")</f>
        <v/>
      </c>
      <c r="AE189" s="25" t="str">
        <f aca="false">IFERROR(AVERAGEIFS(Q$2:Q$300,C$2:C$300,C189,G$2:G$300,G189,D$2:D$300,"BF16"),"")</f>
        <v/>
      </c>
      <c r="AF189" s="28" t="str">
        <f aca="false">IFERROR((Q189-AE189)/AE189*100,"")</f>
        <v/>
      </c>
    </row>
    <row r="190" customFormat="false" ht="15" hidden="false" customHeight="false" outlineLevel="0" collapsed="false">
      <c r="AD190" s="25" t="str">
        <f aca="false">IFERROR(1.96*R190/SQRT(J190*K190),"")</f>
        <v/>
      </c>
      <c r="AE190" s="25" t="str">
        <f aca="false">IFERROR(AVERAGEIFS(Q$2:Q$300,C$2:C$300,C190,G$2:G$300,G190,D$2:D$300,"BF16"),"")</f>
        <v/>
      </c>
      <c r="AF190" s="28" t="str">
        <f aca="false">IFERROR((Q190-AE190)/AE190*100,"")</f>
        <v/>
      </c>
    </row>
    <row r="191" customFormat="false" ht="15" hidden="false" customHeight="false" outlineLevel="0" collapsed="false">
      <c r="AD191" s="25" t="str">
        <f aca="false">IFERROR(1.96*R191/SQRT(J191*K191),"")</f>
        <v/>
      </c>
      <c r="AE191" s="25" t="str">
        <f aca="false">IFERROR(AVERAGEIFS(Q$2:Q$300,C$2:C$300,C191,G$2:G$300,G191,D$2:D$300,"BF16"),"")</f>
        <v/>
      </c>
      <c r="AF191" s="28" t="str">
        <f aca="false">IFERROR((Q191-AE191)/AE191*100,"")</f>
        <v/>
      </c>
    </row>
    <row r="192" customFormat="false" ht="15" hidden="false" customHeight="false" outlineLevel="0" collapsed="false">
      <c r="AD192" s="25" t="str">
        <f aca="false">IFERROR(1.96*R192/SQRT(J192*K192),"")</f>
        <v/>
      </c>
      <c r="AE192" s="25" t="str">
        <f aca="false">IFERROR(AVERAGEIFS(Q$2:Q$300,C$2:C$300,C192,G$2:G$300,G192,D$2:D$300,"BF16"),"")</f>
        <v/>
      </c>
      <c r="AF192" s="28" t="str">
        <f aca="false">IFERROR((Q192-AE192)/AE192*100,"")</f>
        <v/>
      </c>
    </row>
    <row r="193" customFormat="false" ht="15" hidden="false" customHeight="false" outlineLevel="0" collapsed="false">
      <c r="AD193" s="25" t="str">
        <f aca="false">IFERROR(1.96*R193/SQRT(J193*K193),"")</f>
        <v/>
      </c>
      <c r="AE193" s="25" t="str">
        <f aca="false">IFERROR(AVERAGEIFS(Q$2:Q$300,C$2:C$300,C193,G$2:G$300,G193,D$2:D$300,"BF16"),"")</f>
        <v/>
      </c>
      <c r="AF193" s="28" t="str">
        <f aca="false">IFERROR((Q193-AE193)/AE193*100,"")</f>
        <v/>
      </c>
    </row>
    <row r="194" customFormat="false" ht="15" hidden="false" customHeight="false" outlineLevel="0" collapsed="false">
      <c r="AD194" s="25" t="str">
        <f aca="false">IFERROR(1.96*R194/SQRT(J194*K194),"")</f>
        <v/>
      </c>
      <c r="AE194" s="25" t="str">
        <f aca="false">IFERROR(AVERAGEIFS(Q$2:Q$300,C$2:C$300,C194,G$2:G$300,G194,D$2:D$300,"BF16"),"")</f>
        <v/>
      </c>
      <c r="AF194" s="28" t="str">
        <f aca="false">IFERROR((Q194-AE194)/AE194*100,"")</f>
        <v/>
      </c>
    </row>
    <row r="195" customFormat="false" ht="15" hidden="false" customHeight="false" outlineLevel="0" collapsed="false">
      <c r="AD195" s="25" t="str">
        <f aca="false">IFERROR(1.96*R195/SQRT(J195*K195),"")</f>
        <v/>
      </c>
      <c r="AE195" s="25" t="str">
        <f aca="false">IFERROR(AVERAGEIFS(Q$2:Q$300,C$2:C$300,C195,G$2:G$300,G195,D$2:D$300,"BF16"),"")</f>
        <v/>
      </c>
      <c r="AF195" s="28" t="str">
        <f aca="false">IFERROR((Q195-AE195)/AE195*100,"")</f>
        <v/>
      </c>
    </row>
    <row r="196" customFormat="false" ht="15" hidden="false" customHeight="false" outlineLevel="0" collapsed="false">
      <c r="AD196" s="25" t="str">
        <f aca="false">IFERROR(1.96*R196/SQRT(J196*K196),"")</f>
        <v/>
      </c>
      <c r="AE196" s="25" t="str">
        <f aca="false">IFERROR(AVERAGEIFS(Q$2:Q$300,C$2:C$300,C196,G$2:G$300,G196,D$2:D$300,"BF16"),"")</f>
        <v/>
      </c>
      <c r="AF196" s="28" t="str">
        <f aca="false">IFERROR((Q196-AE196)/AE196*100,"")</f>
        <v/>
      </c>
    </row>
    <row r="197" customFormat="false" ht="15" hidden="false" customHeight="false" outlineLevel="0" collapsed="false">
      <c r="AD197" s="25" t="str">
        <f aca="false">IFERROR(1.96*R197/SQRT(J197*K197),"")</f>
        <v/>
      </c>
      <c r="AE197" s="25" t="str">
        <f aca="false">IFERROR(AVERAGEIFS(Q$2:Q$300,C$2:C$300,C197,G$2:G$300,G197,D$2:D$300,"BF16"),"")</f>
        <v/>
      </c>
      <c r="AF197" s="28" t="str">
        <f aca="false">IFERROR((Q197-AE197)/AE197*100,"")</f>
        <v/>
      </c>
    </row>
    <row r="198" customFormat="false" ht="15" hidden="false" customHeight="false" outlineLevel="0" collapsed="false">
      <c r="AD198" s="25" t="str">
        <f aca="false">IFERROR(1.96*R198/SQRT(J198*K198),"")</f>
        <v/>
      </c>
      <c r="AE198" s="25" t="str">
        <f aca="false">IFERROR(AVERAGEIFS(Q$2:Q$300,C$2:C$300,C198,G$2:G$300,G198,D$2:D$300,"BF16"),"")</f>
        <v/>
      </c>
      <c r="AF198" s="28" t="str">
        <f aca="false">IFERROR((Q198-AE198)/AE198*100,"")</f>
        <v/>
      </c>
    </row>
    <row r="199" customFormat="false" ht="15" hidden="false" customHeight="false" outlineLevel="0" collapsed="false">
      <c r="AD199" s="25" t="str">
        <f aca="false">IFERROR(1.96*R199/SQRT(J199*K199),"")</f>
        <v/>
      </c>
      <c r="AE199" s="25" t="str">
        <f aca="false">IFERROR(AVERAGEIFS(Q$2:Q$300,C$2:C$300,C199,G$2:G$300,G199,D$2:D$300,"BF16"),"")</f>
        <v/>
      </c>
      <c r="AF199" s="28" t="str">
        <f aca="false">IFERROR((Q199-AE199)/AE199*100,"")</f>
        <v/>
      </c>
    </row>
    <row r="200" customFormat="false" ht="15" hidden="false" customHeight="false" outlineLevel="0" collapsed="false">
      <c r="AD200" s="25" t="str">
        <f aca="false">IFERROR(1.96*R200/SQRT(J200*K200),"")</f>
        <v/>
      </c>
      <c r="AE200" s="25" t="str">
        <f aca="false">IFERROR(AVERAGEIFS(Q$2:Q$300,C$2:C$300,C200,G$2:G$300,G200,D$2:D$300,"BF16"),"")</f>
        <v/>
      </c>
      <c r="AF200" s="28" t="str">
        <f aca="false">IFERROR((Q200-AE200)/AE200*100,"")</f>
        <v/>
      </c>
    </row>
    <row r="201" customFormat="false" ht="15" hidden="false" customHeight="false" outlineLevel="0" collapsed="false">
      <c r="AD201" s="25" t="str">
        <f aca="false">IFERROR(1.96*R201/SQRT(J201*K201),"")</f>
        <v/>
      </c>
      <c r="AE201" s="25" t="str">
        <f aca="false">IFERROR(AVERAGEIFS(Q$2:Q$300,C$2:C$300,C201,G$2:G$300,G201,D$2:D$300,"BF16"),"")</f>
        <v/>
      </c>
      <c r="AF201" s="28" t="str">
        <f aca="false">IFERROR((Q201-AE201)/AE201*100,"")</f>
        <v/>
      </c>
    </row>
    <row r="202" customFormat="false" ht="15" hidden="false" customHeight="false" outlineLevel="0" collapsed="false">
      <c r="AD202" s="25" t="str">
        <f aca="false">IFERROR(1.96*R202/SQRT(J202*K202),"")</f>
        <v/>
      </c>
      <c r="AE202" s="25" t="str">
        <f aca="false">IFERROR(AVERAGEIFS(Q$2:Q$300,C$2:C$300,C202,G$2:G$300,G202,D$2:D$300,"BF16"),"")</f>
        <v/>
      </c>
      <c r="AF202" s="28" t="str">
        <f aca="false">IFERROR((Q202-AE202)/AE202*100,"")</f>
        <v/>
      </c>
    </row>
    <row r="203" customFormat="false" ht="15" hidden="false" customHeight="false" outlineLevel="0" collapsed="false">
      <c r="AD203" s="25" t="str">
        <f aca="false">IFERROR(1.96*R203/SQRT(J203*K203),"")</f>
        <v/>
      </c>
      <c r="AE203" s="25" t="str">
        <f aca="false">IFERROR(AVERAGEIFS(Q$2:Q$300,C$2:C$300,C203,G$2:G$300,G203,D$2:D$300,"BF16"),"")</f>
        <v/>
      </c>
      <c r="AF203" s="28" t="str">
        <f aca="false">IFERROR((Q203-AE203)/AE203*100,"")</f>
        <v/>
      </c>
    </row>
    <row r="204" customFormat="false" ht="15" hidden="false" customHeight="false" outlineLevel="0" collapsed="false">
      <c r="AD204" s="25" t="str">
        <f aca="false">IFERROR(1.96*R204/SQRT(J204*K204),"")</f>
        <v/>
      </c>
      <c r="AE204" s="25" t="str">
        <f aca="false">IFERROR(AVERAGEIFS(Q$2:Q$300,C$2:C$300,C204,G$2:G$300,G204,D$2:D$300,"BF16"),"")</f>
        <v/>
      </c>
      <c r="AF204" s="28" t="str">
        <f aca="false">IFERROR((Q204-AE204)/AE204*100,"")</f>
        <v/>
      </c>
    </row>
    <row r="205" customFormat="false" ht="15" hidden="false" customHeight="false" outlineLevel="0" collapsed="false">
      <c r="AD205" s="25" t="str">
        <f aca="false">IFERROR(1.96*R205/SQRT(J205*K205),"")</f>
        <v/>
      </c>
      <c r="AE205" s="25" t="str">
        <f aca="false">IFERROR(AVERAGEIFS(Q$2:Q$300,C$2:C$300,C205,G$2:G$300,G205,D$2:D$300,"BF16"),"")</f>
        <v/>
      </c>
      <c r="AF205" s="28" t="str">
        <f aca="false">IFERROR((Q205-AE205)/AE205*100,"")</f>
        <v/>
      </c>
    </row>
    <row r="206" customFormat="false" ht="15" hidden="false" customHeight="false" outlineLevel="0" collapsed="false">
      <c r="AD206" s="25" t="str">
        <f aca="false">IFERROR(1.96*R206/SQRT(J206*K206),"")</f>
        <v/>
      </c>
      <c r="AE206" s="25" t="str">
        <f aca="false">IFERROR(AVERAGEIFS(Q$2:Q$300,C$2:C$300,C206,G$2:G$300,G206,D$2:D$300,"BF16"),"")</f>
        <v/>
      </c>
      <c r="AF206" s="28" t="str">
        <f aca="false">IFERROR((Q206-AE206)/AE206*100,"")</f>
        <v/>
      </c>
    </row>
    <row r="207" customFormat="false" ht="15" hidden="false" customHeight="false" outlineLevel="0" collapsed="false">
      <c r="AD207" s="25" t="str">
        <f aca="false">IFERROR(1.96*R207/SQRT(J207*K207),"")</f>
        <v/>
      </c>
      <c r="AE207" s="25" t="str">
        <f aca="false">IFERROR(AVERAGEIFS(Q$2:Q$300,C$2:C$300,C207,G$2:G$300,G207,D$2:D$300,"BF16"),"")</f>
        <v/>
      </c>
      <c r="AF207" s="28" t="str">
        <f aca="false">IFERROR((Q207-AE207)/AE207*100,"")</f>
        <v/>
      </c>
    </row>
    <row r="208" customFormat="false" ht="15" hidden="false" customHeight="false" outlineLevel="0" collapsed="false">
      <c r="AD208" s="25" t="str">
        <f aca="false">IFERROR(1.96*R208/SQRT(J208*K208),"")</f>
        <v/>
      </c>
      <c r="AE208" s="25" t="str">
        <f aca="false">IFERROR(AVERAGEIFS(Q$2:Q$300,C$2:C$300,C208,G$2:G$300,G208,D$2:D$300,"BF16"),"")</f>
        <v/>
      </c>
      <c r="AF208" s="28" t="str">
        <f aca="false">IFERROR((Q208-AE208)/AE208*100,"")</f>
        <v/>
      </c>
    </row>
    <row r="209" customFormat="false" ht="15" hidden="false" customHeight="false" outlineLevel="0" collapsed="false">
      <c r="AD209" s="25" t="str">
        <f aca="false">IFERROR(1.96*R209/SQRT(J209*K209),"")</f>
        <v/>
      </c>
      <c r="AE209" s="25" t="str">
        <f aca="false">IFERROR(AVERAGEIFS(Q$2:Q$300,C$2:C$300,C209,G$2:G$300,G209,D$2:D$300,"BF16"),"")</f>
        <v/>
      </c>
      <c r="AF209" s="28" t="str">
        <f aca="false">IFERROR((Q209-AE209)/AE209*100,"")</f>
        <v/>
      </c>
    </row>
    <row r="210" customFormat="false" ht="15" hidden="false" customHeight="false" outlineLevel="0" collapsed="false">
      <c r="AD210" s="25" t="str">
        <f aca="false">IFERROR(1.96*R210/SQRT(J210*K210),"")</f>
        <v/>
      </c>
      <c r="AE210" s="25" t="str">
        <f aca="false">IFERROR(AVERAGEIFS(Q$2:Q$300,C$2:C$300,C210,G$2:G$300,G210,D$2:D$300,"BF16"),"")</f>
        <v/>
      </c>
      <c r="AF210" s="28" t="str">
        <f aca="false">IFERROR((Q210-AE210)/AE210*100,"")</f>
        <v/>
      </c>
    </row>
    <row r="211" customFormat="false" ht="15" hidden="false" customHeight="false" outlineLevel="0" collapsed="false">
      <c r="AD211" s="25" t="str">
        <f aca="false">IFERROR(1.96*R211/SQRT(J211*K211),"")</f>
        <v/>
      </c>
      <c r="AE211" s="25" t="str">
        <f aca="false">IFERROR(AVERAGEIFS(Q$2:Q$300,C$2:C$300,C211,G$2:G$300,G211,D$2:D$300,"BF16"),"")</f>
        <v/>
      </c>
      <c r="AF211" s="28" t="str">
        <f aca="false">IFERROR((Q211-AE211)/AE211*100,"")</f>
        <v/>
      </c>
    </row>
    <row r="212" customFormat="false" ht="15" hidden="false" customHeight="false" outlineLevel="0" collapsed="false">
      <c r="AD212" s="25" t="str">
        <f aca="false">IFERROR(1.96*R212/SQRT(J212*K212),"")</f>
        <v/>
      </c>
      <c r="AE212" s="25" t="str">
        <f aca="false">IFERROR(AVERAGEIFS(Q$2:Q$300,C$2:C$300,C212,G$2:G$300,G212,D$2:D$300,"BF16"),"")</f>
        <v/>
      </c>
      <c r="AF212" s="28" t="str">
        <f aca="false">IFERROR((Q212-AE212)/AE212*100,"")</f>
        <v/>
      </c>
    </row>
    <row r="213" customFormat="false" ht="15" hidden="false" customHeight="false" outlineLevel="0" collapsed="false">
      <c r="AD213" s="25" t="str">
        <f aca="false">IFERROR(1.96*R213/SQRT(J213*K213),"")</f>
        <v/>
      </c>
      <c r="AE213" s="25" t="str">
        <f aca="false">IFERROR(AVERAGEIFS(Q$2:Q$300,C$2:C$300,C213,G$2:G$300,G213,D$2:D$300,"BF16"),"")</f>
        <v/>
      </c>
      <c r="AF213" s="28" t="str">
        <f aca="false">IFERROR((Q213-AE213)/AE213*100,"")</f>
        <v/>
      </c>
    </row>
    <row r="214" customFormat="false" ht="15" hidden="false" customHeight="false" outlineLevel="0" collapsed="false">
      <c r="AD214" s="25" t="str">
        <f aca="false">IFERROR(1.96*R214/SQRT(J214*K214),"")</f>
        <v/>
      </c>
      <c r="AE214" s="25" t="str">
        <f aca="false">IFERROR(AVERAGEIFS(Q$2:Q$300,C$2:C$300,C214,G$2:G$300,G214,D$2:D$300,"BF16"),"")</f>
        <v/>
      </c>
      <c r="AF214" s="28" t="str">
        <f aca="false">IFERROR((Q214-AE214)/AE214*100,"")</f>
        <v/>
      </c>
    </row>
    <row r="215" customFormat="false" ht="15" hidden="false" customHeight="false" outlineLevel="0" collapsed="false">
      <c r="AD215" s="25" t="str">
        <f aca="false">IFERROR(1.96*R215/SQRT(J215*K215),"")</f>
        <v/>
      </c>
      <c r="AE215" s="25" t="str">
        <f aca="false">IFERROR(AVERAGEIFS(Q$2:Q$300,C$2:C$300,C215,G$2:G$300,G215,D$2:D$300,"BF16"),"")</f>
        <v/>
      </c>
      <c r="AF215" s="28" t="str">
        <f aca="false">IFERROR((Q215-AE215)/AE215*100,"")</f>
        <v/>
      </c>
    </row>
    <row r="216" customFormat="false" ht="15" hidden="false" customHeight="false" outlineLevel="0" collapsed="false">
      <c r="AD216" s="25" t="str">
        <f aca="false">IFERROR(1.96*R216/SQRT(J216*K216),"")</f>
        <v/>
      </c>
      <c r="AE216" s="25" t="str">
        <f aca="false">IFERROR(AVERAGEIFS(Q$2:Q$300,C$2:C$300,C216,G$2:G$300,G216,D$2:D$300,"BF16"),"")</f>
        <v/>
      </c>
      <c r="AF216" s="28" t="str">
        <f aca="false">IFERROR((Q216-AE216)/AE216*100,"")</f>
        <v/>
      </c>
    </row>
    <row r="217" customFormat="false" ht="15" hidden="false" customHeight="false" outlineLevel="0" collapsed="false">
      <c r="AD217" s="25" t="str">
        <f aca="false">IFERROR(1.96*R217/SQRT(J217*K217),"")</f>
        <v/>
      </c>
      <c r="AE217" s="25" t="str">
        <f aca="false">IFERROR(AVERAGEIFS(Q$2:Q$300,C$2:C$300,C217,G$2:G$300,G217,D$2:D$300,"BF16"),"")</f>
        <v/>
      </c>
      <c r="AF217" s="28" t="str">
        <f aca="false">IFERROR((Q217-AE217)/AE217*100,"")</f>
        <v/>
      </c>
    </row>
    <row r="218" customFormat="false" ht="15" hidden="false" customHeight="false" outlineLevel="0" collapsed="false">
      <c r="AD218" s="25" t="str">
        <f aca="false">IFERROR(1.96*R218/SQRT(J218*K218),"")</f>
        <v/>
      </c>
      <c r="AE218" s="25" t="str">
        <f aca="false">IFERROR(AVERAGEIFS(Q$2:Q$300,C$2:C$300,C218,G$2:G$300,G218,D$2:D$300,"BF16"),"")</f>
        <v/>
      </c>
      <c r="AF218" s="28" t="str">
        <f aca="false">IFERROR((Q218-AE218)/AE218*100,"")</f>
        <v/>
      </c>
    </row>
    <row r="219" customFormat="false" ht="15" hidden="false" customHeight="false" outlineLevel="0" collapsed="false">
      <c r="AD219" s="25" t="str">
        <f aca="false">IFERROR(1.96*R219/SQRT(J219*K219),"")</f>
        <v/>
      </c>
      <c r="AE219" s="25" t="str">
        <f aca="false">IFERROR(AVERAGEIFS(Q$2:Q$300,C$2:C$300,C219,G$2:G$300,G219,D$2:D$300,"BF16"),"")</f>
        <v/>
      </c>
      <c r="AF219" s="28" t="str">
        <f aca="false">IFERROR((Q219-AE219)/AE219*100,"")</f>
        <v/>
      </c>
    </row>
    <row r="220" customFormat="false" ht="15" hidden="false" customHeight="false" outlineLevel="0" collapsed="false">
      <c r="AD220" s="25" t="str">
        <f aca="false">IFERROR(1.96*R220/SQRT(J220*K220),"")</f>
        <v/>
      </c>
      <c r="AE220" s="25" t="str">
        <f aca="false">IFERROR(AVERAGEIFS(Q$2:Q$300,C$2:C$300,C220,G$2:G$300,G220,D$2:D$300,"BF16"),"")</f>
        <v/>
      </c>
      <c r="AF220" s="28" t="str">
        <f aca="false">IFERROR((Q220-AE220)/AE220*100,"")</f>
        <v/>
      </c>
    </row>
    <row r="221" customFormat="false" ht="15" hidden="false" customHeight="false" outlineLevel="0" collapsed="false">
      <c r="AD221" s="25" t="str">
        <f aca="false">IFERROR(1.96*R221/SQRT(J221*K221),"")</f>
        <v/>
      </c>
      <c r="AE221" s="25" t="str">
        <f aca="false">IFERROR(AVERAGEIFS(Q$2:Q$300,C$2:C$300,C221,G$2:G$300,G221,D$2:D$300,"BF16"),"")</f>
        <v/>
      </c>
      <c r="AF221" s="28" t="str">
        <f aca="false">IFERROR((Q221-AE221)/AE221*100,"")</f>
        <v/>
      </c>
    </row>
    <row r="222" customFormat="false" ht="15" hidden="false" customHeight="false" outlineLevel="0" collapsed="false">
      <c r="AD222" s="25" t="str">
        <f aca="false">IFERROR(1.96*R222/SQRT(J222*K222),"")</f>
        <v/>
      </c>
      <c r="AE222" s="25" t="str">
        <f aca="false">IFERROR(AVERAGEIFS(Q$2:Q$300,C$2:C$300,C222,G$2:G$300,G222,D$2:D$300,"BF16"),"")</f>
        <v/>
      </c>
      <c r="AF222" s="28" t="str">
        <f aca="false">IFERROR((Q222-AE222)/AE222*100,"")</f>
        <v/>
      </c>
    </row>
    <row r="223" customFormat="false" ht="15" hidden="false" customHeight="false" outlineLevel="0" collapsed="false">
      <c r="AD223" s="25" t="str">
        <f aca="false">IFERROR(1.96*R223/SQRT(J223*K223),"")</f>
        <v/>
      </c>
      <c r="AE223" s="25" t="str">
        <f aca="false">IFERROR(AVERAGEIFS(Q$2:Q$300,C$2:C$300,C223,G$2:G$300,G223,D$2:D$300,"BF16"),"")</f>
        <v/>
      </c>
      <c r="AF223" s="28" t="str">
        <f aca="false">IFERROR((Q223-AE223)/AE223*100,"")</f>
        <v/>
      </c>
    </row>
    <row r="224" customFormat="false" ht="15" hidden="false" customHeight="false" outlineLevel="0" collapsed="false">
      <c r="AD224" s="25" t="str">
        <f aca="false">IFERROR(1.96*R224/SQRT(J224*K224),"")</f>
        <v/>
      </c>
      <c r="AE224" s="25" t="str">
        <f aca="false">IFERROR(AVERAGEIFS(Q$2:Q$300,C$2:C$300,C224,G$2:G$300,G224,D$2:D$300,"BF16"),"")</f>
        <v/>
      </c>
      <c r="AF224" s="28" t="str">
        <f aca="false">IFERROR((Q224-AE224)/AE224*100,"")</f>
        <v/>
      </c>
    </row>
    <row r="225" customFormat="false" ht="15" hidden="false" customHeight="false" outlineLevel="0" collapsed="false">
      <c r="AD225" s="25" t="str">
        <f aca="false">IFERROR(1.96*R225/SQRT(J225*K225),"")</f>
        <v/>
      </c>
      <c r="AE225" s="25" t="str">
        <f aca="false">IFERROR(AVERAGEIFS(Q$2:Q$300,C$2:C$300,C225,G$2:G$300,G225,D$2:D$300,"BF16"),"")</f>
        <v/>
      </c>
      <c r="AF225" s="28" t="str">
        <f aca="false">IFERROR((Q225-AE225)/AE225*100,"")</f>
        <v/>
      </c>
    </row>
    <row r="226" customFormat="false" ht="15" hidden="false" customHeight="false" outlineLevel="0" collapsed="false">
      <c r="AD226" s="25" t="str">
        <f aca="false">IFERROR(1.96*R226/SQRT(J226*K226),"")</f>
        <v/>
      </c>
      <c r="AE226" s="25" t="str">
        <f aca="false">IFERROR(AVERAGEIFS(Q$2:Q$300,C$2:C$300,C226,G$2:G$300,G226,D$2:D$300,"BF16"),"")</f>
        <v/>
      </c>
      <c r="AF226" s="28" t="str">
        <f aca="false">IFERROR((Q226-AE226)/AE226*100,"")</f>
        <v/>
      </c>
    </row>
    <row r="227" customFormat="false" ht="15" hidden="false" customHeight="false" outlineLevel="0" collapsed="false">
      <c r="AD227" s="25" t="str">
        <f aca="false">IFERROR(1.96*R227/SQRT(J227*K227),"")</f>
        <v/>
      </c>
      <c r="AE227" s="25" t="str">
        <f aca="false">IFERROR(AVERAGEIFS(Q$2:Q$300,C$2:C$300,C227,G$2:G$300,G227,D$2:D$300,"BF16"),"")</f>
        <v/>
      </c>
      <c r="AF227" s="28" t="str">
        <f aca="false">IFERROR((Q227-AE227)/AE227*100,"")</f>
        <v/>
      </c>
    </row>
    <row r="228" customFormat="false" ht="15" hidden="false" customHeight="false" outlineLevel="0" collapsed="false">
      <c r="AD228" s="25" t="str">
        <f aca="false">IFERROR(1.96*R228/SQRT(J228*K228),"")</f>
        <v/>
      </c>
      <c r="AE228" s="25" t="str">
        <f aca="false">IFERROR(AVERAGEIFS(Q$2:Q$300,C$2:C$300,C228,G$2:G$300,G228,D$2:D$300,"BF16"),"")</f>
        <v/>
      </c>
      <c r="AF228" s="28" t="str">
        <f aca="false">IFERROR((Q228-AE228)/AE228*100,"")</f>
        <v/>
      </c>
    </row>
    <row r="229" customFormat="false" ht="15" hidden="false" customHeight="false" outlineLevel="0" collapsed="false">
      <c r="AD229" s="25" t="str">
        <f aca="false">IFERROR(1.96*R229/SQRT(J229*K229),"")</f>
        <v/>
      </c>
      <c r="AE229" s="25" t="str">
        <f aca="false">IFERROR(AVERAGEIFS(Q$2:Q$300,C$2:C$300,C229,G$2:G$300,G229,D$2:D$300,"BF16"),"")</f>
        <v/>
      </c>
      <c r="AF229" s="28" t="str">
        <f aca="false">IFERROR((Q229-AE229)/AE229*100,"")</f>
        <v/>
      </c>
    </row>
    <row r="230" customFormat="false" ht="15" hidden="false" customHeight="false" outlineLevel="0" collapsed="false">
      <c r="AD230" s="25" t="str">
        <f aca="false">IFERROR(1.96*R230/SQRT(J230*K230),"")</f>
        <v/>
      </c>
      <c r="AE230" s="25" t="str">
        <f aca="false">IFERROR(AVERAGEIFS(Q$2:Q$300,C$2:C$300,C230,G$2:G$300,G230,D$2:D$300,"BF16"),"")</f>
        <v/>
      </c>
      <c r="AF230" s="28" t="str">
        <f aca="false">IFERROR((Q230-AE230)/AE230*100,"")</f>
        <v/>
      </c>
    </row>
    <row r="231" customFormat="false" ht="15" hidden="false" customHeight="false" outlineLevel="0" collapsed="false">
      <c r="AD231" s="25" t="str">
        <f aca="false">IFERROR(1.96*R231/SQRT(J231*K231),"")</f>
        <v/>
      </c>
      <c r="AE231" s="25" t="str">
        <f aca="false">IFERROR(AVERAGEIFS(Q$2:Q$300,C$2:C$300,C231,G$2:G$300,G231,D$2:D$300,"BF16"),"")</f>
        <v/>
      </c>
      <c r="AF231" s="28" t="str">
        <f aca="false">IFERROR((Q231-AE231)/AE231*100,"")</f>
        <v/>
      </c>
    </row>
    <row r="232" customFormat="false" ht="15" hidden="false" customHeight="false" outlineLevel="0" collapsed="false">
      <c r="AD232" s="25" t="str">
        <f aca="false">IFERROR(1.96*R232/SQRT(J232*K232),"")</f>
        <v/>
      </c>
      <c r="AE232" s="25" t="str">
        <f aca="false">IFERROR(AVERAGEIFS(Q$2:Q$300,C$2:C$300,C232,G$2:G$300,G232,D$2:D$300,"BF16"),"")</f>
        <v/>
      </c>
      <c r="AF232" s="28" t="str">
        <f aca="false">IFERROR((Q232-AE232)/AE232*100,"")</f>
        <v/>
      </c>
    </row>
    <row r="233" customFormat="false" ht="15" hidden="false" customHeight="false" outlineLevel="0" collapsed="false">
      <c r="AD233" s="25" t="str">
        <f aca="false">IFERROR(1.96*R233/SQRT(J233*K233),"")</f>
        <v/>
      </c>
      <c r="AE233" s="25" t="str">
        <f aca="false">IFERROR(AVERAGEIFS(Q$2:Q$300,C$2:C$300,C233,G$2:G$300,G233,D$2:D$300,"BF16"),"")</f>
        <v/>
      </c>
      <c r="AF233" s="28" t="str">
        <f aca="false">IFERROR((Q233-AE233)/AE233*100,"")</f>
        <v/>
      </c>
    </row>
    <row r="234" customFormat="false" ht="15" hidden="false" customHeight="false" outlineLevel="0" collapsed="false">
      <c r="AD234" s="25" t="str">
        <f aca="false">IFERROR(1.96*R234/SQRT(J234*K234),"")</f>
        <v/>
      </c>
      <c r="AE234" s="25" t="str">
        <f aca="false">IFERROR(AVERAGEIFS(Q$2:Q$300,C$2:C$300,C234,G$2:G$300,G234,D$2:D$300,"BF16"),"")</f>
        <v/>
      </c>
      <c r="AF234" s="28" t="str">
        <f aca="false">IFERROR((Q234-AE234)/AE234*100,"")</f>
        <v/>
      </c>
    </row>
    <row r="235" customFormat="false" ht="15" hidden="false" customHeight="false" outlineLevel="0" collapsed="false">
      <c r="AD235" s="25" t="str">
        <f aca="false">IFERROR(1.96*R235/SQRT(J235*K235),"")</f>
        <v/>
      </c>
      <c r="AE235" s="25" t="str">
        <f aca="false">IFERROR(AVERAGEIFS(Q$2:Q$300,C$2:C$300,C235,G$2:G$300,G235,D$2:D$300,"BF16"),"")</f>
        <v/>
      </c>
      <c r="AF235" s="28" t="str">
        <f aca="false">IFERROR((Q235-AE235)/AE235*100,"")</f>
        <v/>
      </c>
    </row>
    <row r="236" customFormat="false" ht="15" hidden="false" customHeight="false" outlineLevel="0" collapsed="false">
      <c r="AD236" s="25" t="str">
        <f aca="false">IFERROR(1.96*R236/SQRT(J236*K236),"")</f>
        <v/>
      </c>
      <c r="AE236" s="25" t="str">
        <f aca="false">IFERROR(AVERAGEIFS(Q$2:Q$300,C$2:C$300,C236,G$2:G$300,G236,D$2:D$300,"BF16"),"")</f>
        <v/>
      </c>
      <c r="AF236" s="28" t="str">
        <f aca="false">IFERROR((Q236-AE236)/AE236*100,"")</f>
        <v/>
      </c>
    </row>
    <row r="237" customFormat="false" ht="15" hidden="false" customHeight="false" outlineLevel="0" collapsed="false">
      <c r="AD237" s="25" t="str">
        <f aca="false">IFERROR(1.96*R237/SQRT(J237*K237),"")</f>
        <v/>
      </c>
      <c r="AE237" s="25" t="str">
        <f aca="false">IFERROR(AVERAGEIFS(Q$2:Q$300,C$2:C$300,C237,G$2:G$300,G237,D$2:D$300,"BF16"),"")</f>
        <v/>
      </c>
      <c r="AF237" s="28" t="str">
        <f aca="false">IFERROR((Q237-AE237)/AE237*100,"")</f>
        <v/>
      </c>
    </row>
    <row r="238" customFormat="false" ht="15" hidden="false" customHeight="false" outlineLevel="0" collapsed="false">
      <c r="AD238" s="25" t="str">
        <f aca="false">IFERROR(1.96*R238/SQRT(J238*K238),"")</f>
        <v/>
      </c>
      <c r="AE238" s="25" t="str">
        <f aca="false">IFERROR(AVERAGEIFS(Q$2:Q$300,C$2:C$300,C238,G$2:G$300,G238,D$2:D$300,"BF16"),"")</f>
        <v/>
      </c>
      <c r="AF238" s="28" t="str">
        <f aca="false">IFERROR((Q238-AE238)/AE238*100,"")</f>
        <v/>
      </c>
    </row>
    <row r="239" customFormat="false" ht="15" hidden="false" customHeight="false" outlineLevel="0" collapsed="false">
      <c r="AD239" s="25" t="str">
        <f aca="false">IFERROR(1.96*R239/SQRT(J239*K239),"")</f>
        <v/>
      </c>
      <c r="AE239" s="25" t="str">
        <f aca="false">IFERROR(AVERAGEIFS(Q$2:Q$300,C$2:C$300,C239,G$2:G$300,G239,D$2:D$300,"BF16"),"")</f>
        <v/>
      </c>
      <c r="AF239" s="28" t="str">
        <f aca="false">IFERROR((Q239-AE239)/AE239*100,"")</f>
        <v/>
      </c>
    </row>
    <row r="240" customFormat="false" ht="15" hidden="false" customHeight="false" outlineLevel="0" collapsed="false">
      <c r="AD240" s="25" t="str">
        <f aca="false">IFERROR(1.96*R240/SQRT(J240*K240),"")</f>
        <v/>
      </c>
      <c r="AE240" s="25" t="str">
        <f aca="false">IFERROR(AVERAGEIFS(Q$2:Q$300,C$2:C$300,C240,G$2:G$300,G240,D$2:D$300,"BF16"),"")</f>
        <v/>
      </c>
      <c r="AF240" s="28" t="str">
        <f aca="false">IFERROR((Q240-AE240)/AE240*100,"")</f>
        <v/>
      </c>
    </row>
    <row r="241" customFormat="false" ht="15" hidden="false" customHeight="false" outlineLevel="0" collapsed="false">
      <c r="AD241" s="25" t="str">
        <f aca="false">IFERROR(1.96*R241/SQRT(J241*K241),"")</f>
        <v/>
      </c>
      <c r="AE241" s="25" t="str">
        <f aca="false">IFERROR(AVERAGEIFS(Q$2:Q$300,C$2:C$300,C241,G$2:G$300,G241,D$2:D$300,"BF16"),"")</f>
        <v/>
      </c>
      <c r="AF241" s="28" t="str">
        <f aca="false">IFERROR((Q241-AE241)/AE241*100,"")</f>
        <v/>
      </c>
    </row>
    <row r="242" customFormat="false" ht="15" hidden="false" customHeight="false" outlineLevel="0" collapsed="false">
      <c r="AD242" s="25" t="str">
        <f aca="false">IFERROR(1.96*R242/SQRT(J242*K242),"")</f>
        <v/>
      </c>
      <c r="AE242" s="25" t="str">
        <f aca="false">IFERROR(AVERAGEIFS(Q$2:Q$300,C$2:C$300,C242,G$2:G$300,G242,D$2:D$300,"BF16"),"")</f>
        <v/>
      </c>
      <c r="AF242" s="28" t="str">
        <f aca="false">IFERROR((Q242-AE242)/AE242*100,"")</f>
        <v/>
      </c>
    </row>
    <row r="243" customFormat="false" ht="15" hidden="false" customHeight="false" outlineLevel="0" collapsed="false">
      <c r="AD243" s="25" t="str">
        <f aca="false">IFERROR(1.96*R243/SQRT(J243*K243),"")</f>
        <v/>
      </c>
      <c r="AE243" s="25" t="str">
        <f aca="false">IFERROR(AVERAGEIFS(Q$2:Q$300,C$2:C$300,C243,G$2:G$300,G243,D$2:D$300,"BF16"),"")</f>
        <v/>
      </c>
      <c r="AF243" s="28" t="str">
        <f aca="false">IFERROR((Q243-AE243)/AE243*100,"")</f>
        <v/>
      </c>
    </row>
    <row r="244" customFormat="false" ht="15" hidden="false" customHeight="false" outlineLevel="0" collapsed="false">
      <c r="AD244" s="25" t="str">
        <f aca="false">IFERROR(1.96*R244/SQRT(J244*K244),"")</f>
        <v/>
      </c>
      <c r="AE244" s="25" t="str">
        <f aca="false">IFERROR(AVERAGEIFS(Q$2:Q$300,C$2:C$300,C244,G$2:G$300,G244,D$2:D$300,"BF16"),"")</f>
        <v/>
      </c>
      <c r="AF244" s="28" t="str">
        <f aca="false">IFERROR((Q244-AE244)/AE244*100,"")</f>
        <v/>
      </c>
    </row>
    <row r="245" customFormat="false" ht="15" hidden="false" customHeight="false" outlineLevel="0" collapsed="false">
      <c r="AD245" s="25" t="str">
        <f aca="false">IFERROR(1.96*R245/SQRT(J245*K245),"")</f>
        <v/>
      </c>
      <c r="AE245" s="25" t="str">
        <f aca="false">IFERROR(AVERAGEIFS(Q$2:Q$300,C$2:C$300,C245,G$2:G$300,G245,D$2:D$300,"BF16"),"")</f>
        <v/>
      </c>
      <c r="AF245" s="28" t="str">
        <f aca="false">IFERROR((Q245-AE245)/AE245*100,"")</f>
        <v/>
      </c>
    </row>
    <row r="246" customFormat="false" ht="15" hidden="false" customHeight="false" outlineLevel="0" collapsed="false">
      <c r="AD246" s="25" t="str">
        <f aca="false">IFERROR(1.96*R246/SQRT(J246*K246),"")</f>
        <v/>
      </c>
      <c r="AE246" s="25" t="str">
        <f aca="false">IFERROR(AVERAGEIFS(Q$2:Q$300,C$2:C$300,C246,G$2:G$300,G246,D$2:D$300,"BF16"),"")</f>
        <v/>
      </c>
      <c r="AF246" s="28" t="str">
        <f aca="false">IFERROR((Q246-AE246)/AE246*100,"")</f>
        <v/>
      </c>
    </row>
    <row r="247" customFormat="false" ht="15" hidden="false" customHeight="false" outlineLevel="0" collapsed="false">
      <c r="AD247" s="25" t="str">
        <f aca="false">IFERROR(1.96*R247/SQRT(J247*K247),"")</f>
        <v/>
      </c>
      <c r="AE247" s="25" t="str">
        <f aca="false">IFERROR(AVERAGEIFS(Q$2:Q$300,C$2:C$300,C247,G$2:G$300,G247,D$2:D$300,"BF16"),"")</f>
        <v/>
      </c>
      <c r="AF247" s="28" t="str">
        <f aca="false">IFERROR((Q247-AE247)/AE247*100,"")</f>
        <v/>
      </c>
    </row>
    <row r="248" customFormat="false" ht="15" hidden="false" customHeight="false" outlineLevel="0" collapsed="false">
      <c r="AD248" s="25" t="str">
        <f aca="false">IFERROR(1.96*R248/SQRT(J248*K248),"")</f>
        <v/>
      </c>
      <c r="AE248" s="25" t="str">
        <f aca="false">IFERROR(AVERAGEIFS(Q$2:Q$300,C$2:C$300,C248,G$2:G$300,G248,D$2:D$300,"BF16"),"")</f>
        <v/>
      </c>
      <c r="AF248" s="28" t="str">
        <f aca="false">IFERROR((Q248-AE248)/AE248*100,"")</f>
        <v/>
      </c>
    </row>
    <row r="249" customFormat="false" ht="15" hidden="false" customHeight="false" outlineLevel="0" collapsed="false">
      <c r="AD249" s="25" t="str">
        <f aca="false">IFERROR(1.96*R249/SQRT(J249*K249),"")</f>
        <v/>
      </c>
      <c r="AE249" s="25" t="str">
        <f aca="false">IFERROR(AVERAGEIFS(Q$2:Q$300,C$2:C$300,C249,G$2:G$300,G249,D$2:D$300,"BF16"),"")</f>
        <v/>
      </c>
      <c r="AF249" s="28" t="str">
        <f aca="false">IFERROR((Q249-AE249)/AE249*100,"")</f>
        <v/>
      </c>
    </row>
    <row r="250" customFormat="false" ht="15" hidden="false" customHeight="false" outlineLevel="0" collapsed="false">
      <c r="AD250" s="25" t="str">
        <f aca="false">IFERROR(1.96*R250/SQRT(J250*K250),"")</f>
        <v/>
      </c>
      <c r="AE250" s="25" t="str">
        <f aca="false">IFERROR(AVERAGEIFS(Q$2:Q$300,C$2:C$300,C250,G$2:G$300,G250,D$2:D$300,"BF16"),"")</f>
        <v/>
      </c>
      <c r="AF250" s="28" t="str">
        <f aca="false">IFERROR((Q250-AE250)/AE250*100,"")</f>
        <v/>
      </c>
    </row>
    <row r="251" customFormat="false" ht="15" hidden="false" customHeight="false" outlineLevel="0" collapsed="false">
      <c r="AD251" s="25" t="str">
        <f aca="false">IFERROR(1.96*R251/SQRT(J251*K251),"")</f>
        <v/>
      </c>
      <c r="AE251" s="25" t="str">
        <f aca="false">IFERROR(AVERAGEIFS(Q$2:Q$300,C$2:C$300,C251,G$2:G$300,G251,D$2:D$300,"BF16"),"")</f>
        <v/>
      </c>
      <c r="AF251" s="28" t="str">
        <f aca="false">IFERROR((Q251-AE251)/AE251*100,"")</f>
        <v/>
      </c>
    </row>
    <row r="252" customFormat="false" ht="15" hidden="false" customHeight="false" outlineLevel="0" collapsed="false">
      <c r="AD252" s="25" t="str">
        <f aca="false">IFERROR(1.96*R252/SQRT(J252*K252),"")</f>
        <v/>
      </c>
      <c r="AE252" s="25" t="str">
        <f aca="false">IFERROR(AVERAGEIFS(Q$2:Q$300,C$2:C$300,C252,G$2:G$300,G252,D$2:D$300,"BF16"),"")</f>
        <v/>
      </c>
      <c r="AF252" s="28" t="str">
        <f aca="false">IFERROR((Q252-AE252)/AE252*100,"")</f>
        <v/>
      </c>
    </row>
    <row r="253" customFormat="false" ht="15" hidden="false" customHeight="false" outlineLevel="0" collapsed="false">
      <c r="AD253" s="25" t="str">
        <f aca="false">IFERROR(1.96*R253/SQRT(J253*K253),"")</f>
        <v/>
      </c>
      <c r="AE253" s="25" t="str">
        <f aca="false">IFERROR(AVERAGEIFS(Q$2:Q$300,C$2:C$300,C253,G$2:G$300,G253,D$2:D$300,"BF16"),"")</f>
        <v/>
      </c>
      <c r="AF253" s="28" t="str">
        <f aca="false">IFERROR((Q253-AE253)/AE253*100,"")</f>
        <v/>
      </c>
    </row>
    <row r="254" customFormat="false" ht="15" hidden="false" customHeight="false" outlineLevel="0" collapsed="false">
      <c r="AD254" s="25" t="str">
        <f aca="false">IFERROR(1.96*R254/SQRT(J254*K254),"")</f>
        <v/>
      </c>
      <c r="AE254" s="25" t="str">
        <f aca="false">IFERROR(AVERAGEIFS(Q$2:Q$300,C$2:C$300,C254,G$2:G$300,G254,D$2:D$300,"BF16"),"")</f>
        <v/>
      </c>
      <c r="AF254" s="28" t="str">
        <f aca="false">IFERROR((Q254-AE254)/AE254*100,"")</f>
        <v/>
      </c>
    </row>
    <row r="255" customFormat="false" ht="15" hidden="false" customHeight="false" outlineLevel="0" collapsed="false">
      <c r="AD255" s="25" t="str">
        <f aca="false">IFERROR(1.96*R255/SQRT(J255*K255),"")</f>
        <v/>
      </c>
      <c r="AE255" s="25" t="str">
        <f aca="false">IFERROR(AVERAGEIFS(Q$2:Q$300,C$2:C$300,C255,G$2:G$300,G255,D$2:D$300,"BF16"),"")</f>
        <v/>
      </c>
      <c r="AF255" s="28" t="str">
        <f aca="false">IFERROR((Q255-AE255)/AE255*100,"")</f>
        <v/>
      </c>
    </row>
    <row r="256" customFormat="false" ht="15" hidden="false" customHeight="false" outlineLevel="0" collapsed="false">
      <c r="AD256" s="25" t="str">
        <f aca="false">IFERROR(1.96*R256/SQRT(J256*K256),"")</f>
        <v/>
      </c>
      <c r="AE256" s="25" t="str">
        <f aca="false">IFERROR(AVERAGEIFS(Q$2:Q$300,C$2:C$300,C256,G$2:G$300,G256,D$2:D$300,"BF16"),"")</f>
        <v/>
      </c>
      <c r="AF256" s="28" t="str">
        <f aca="false">IFERROR((Q256-AE256)/AE256*100,"")</f>
        <v/>
      </c>
    </row>
    <row r="257" customFormat="false" ht="15" hidden="false" customHeight="false" outlineLevel="0" collapsed="false">
      <c r="AD257" s="25" t="str">
        <f aca="false">IFERROR(1.96*R257/SQRT(J257*K257),"")</f>
        <v/>
      </c>
      <c r="AE257" s="25" t="str">
        <f aca="false">IFERROR(AVERAGEIFS(Q$2:Q$300,C$2:C$300,C257,G$2:G$300,G257,D$2:D$300,"BF16"),"")</f>
        <v/>
      </c>
      <c r="AF257" s="28" t="str">
        <f aca="false">IFERROR((Q257-AE257)/AE257*100,"")</f>
        <v/>
      </c>
    </row>
    <row r="258" customFormat="false" ht="15" hidden="false" customHeight="false" outlineLevel="0" collapsed="false">
      <c r="AD258" s="25" t="str">
        <f aca="false">IFERROR(1.96*R258/SQRT(J258*K258),"")</f>
        <v/>
      </c>
      <c r="AE258" s="25" t="str">
        <f aca="false">IFERROR(AVERAGEIFS(Q$2:Q$300,C$2:C$300,C258,G$2:G$300,G258,D$2:D$300,"BF16"),"")</f>
        <v/>
      </c>
      <c r="AF258" s="28" t="str">
        <f aca="false">IFERROR((Q258-AE258)/AE258*100,"")</f>
        <v/>
      </c>
    </row>
    <row r="259" customFormat="false" ht="15" hidden="false" customHeight="false" outlineLevel="0" collapsed="false">
      <c r="AD259" s="25" t="str">
        <f aca="false">IFERROR(1.96*R259/SQRT(J259*K259),"")</f>
        <v/>
      </c>
      <c r="AE259" s="25" t="str">
        <f aca="false">IFERROR(AVERAGEIFS(Q$2:Q$300,C$2:C$300,C259,G$2:G$300,G259,D$2:D$300,"BF16"),"")</f>
        <v/>
      </c>
      <c r="AF259" s="28" t="str">
        <f aca="false">IFERROR((Q259-AE259)/AE259*100,"")</f>
        <v/>
      </c>
    </row>
    <row r="260" customFormat="false" ht="15" hidden="false" customHeight="false" outlineLevel="0" collapsed="false">
      <c r="AD260" s="25" t="str">
        <f aca="false">IFERROR(1.96*R260/SQRT(J260*K260),"")</f>
        <v/>
      </c>
      <c r="AE260" s="25" t="str">
        <f aca="false">IFERROR(AVERAGEIFS(Q$2:Q$300,C$2:C$300,C260,G$2:G$300,G260,D$2:D$300,"BF16"),"")</f>
        <v/>
      </c>
      <c r="AF260" s="28" t="str">
        <f aca="false">IFERROR((Q260-AE260)/AE260*100,"")</f>
        <v/>
      </c>
    </row>
    <row r="261" customFormat="false" ht="15" hidden="false" customHeight="false" outlineLevel="0" collapsed="false">
      <c r="AD261" s="25" t="str">
        <f aca="false">IFERROR(1.96*R261/SQRT(J261*K261),"")</f>
        <v/>
      </c>
      <c r="AE261" s="25" t="str">
        <f aca="false">IFERROR(AVERAGEIFS(Q$2:Q$300,C$2:C$300,C261,G$2:G$300,G261,D$2:D$300,"BF16"),"")</f>
        <v/>
      </c>
      <c r="AF261" s="28" t="str">
        <f aca="false">IFERROR((Q261-AE261)/AE261*100,"")</f>
        <v/>
      </c>
    </row>
    <row r="262" customFormat="false" ht="15" hidden="false" customHeight="false" outlineLevel="0" collapsed="false">
      <c r="AD262" s="25" t="str">
        <f aca="false">IFERROR(1.96*R262/SQRT(J262*K262),"")</f>
        <v/>
      </c>
      <c r="AE262" s="25" t="str">
        <f aca="false">IFERROR(AVERAGEIFS(Q$2:Q$300,C$2:C$300,C262,G$2:G$300,G262,D$2:D$300,"BF16"),"")</f>
        <v/>
      </c>
      <c r="AF262" s="28" t="str">
        <f aca="false">IFERROR((Q262-AE262)/AE262*100,"")</f>
        <v/>
      </c>
    </row>
    <row r="263" customFormat="false" ht="15" hidden="false" customHeight="false" outlineLevel="0" collapsed="false">
      <c r="AD263" s="25" t="str">
        <f aca="false">IFERROR(1.96*R263/SQRT(J263*K263),"")</f>
        <v/>
      </c>
      <c r="AE263" s="25" t="str">
        <f aca="false">IFERROR(AVERAGEIFS(Q$2:Q$300,C$2:C$300,C263,G$2:G$300,G263,D$2:D$300,"BF16"),"")</f>
        <v/>
      </c>
      <c r="AF263" s="28" t="str">
        <f aca="false">IFERROR((Q263-AE263)/AE263*100,"")</f>
        <v/>
      </c>
    </row>
    <row r="264" customFormat="false" ht="15" hidden="false" customHeight="false" outlineLevel="0" collapsed="false">
      <c r="AD264" s="25" t="str">
        <f aca="false">IFERROR(1.96*R264/SQRT(J264*K264),"")</f>
        <v/>
      </c>
      <c r="AE264" s="25" t="str">
        <f aca="false">IFERROR(AVERAGEIFS(Q$2:Q$300,C$2:C$300,C264,G$2:G$300,G264,D$2:D$300,"BF16"),"")</f>
        <v/>
      </c>
      <c r="AF264" s="28" t="str">
        <f aca="false">IFERROR((Q264-AE264)/AE264*100,"")</f>
        <v/>
      </c>
    </row>
    <row r="265" customFormat="false" ht="15" hidden="false" customHeight="false" outlineLevel="0" collapsed="false">
      <c r="AD265" s="25" t="str">
        <f aca="false">IFERROR(1.96*R265/SQRT(J265*K265),"")</f>
        <v/>
      </c>
      <c r="AE265" s="25" t="str">
        <f aca="false">IFERROR(AVERAGEIFS(Q$2:Q$300,C$2:C$300,C265,G$2:G$300,G265,D$2:D$300,"BF16"),"")</f>
        <v/>
      </c>
      <c r="AF265" s="28" t="str">
        <f aca="false">IFERROR((Q265-AE265)/AE265*100,"")</f>
        <v/>
      </c>
    </row>
    <row r="266" customFormat="false" ht="15" hidden="false" customHeight="false" outlineLevel="0" collapsed="false">
      <c r="AD266" s="25" t="str">
        <f aca="false">IFERROR(1.96*R266/SQRT(J266*K266),"")</f>
        <v/>
      </c>
      <c r="AE266" s="25" t="str">
        <f aca="false">IFERROR(AVERAGEIFS(Q$2:Q$300,C$2:C$300,C266,G$2:G$300,G266,D$2:D$300,"BF16"),"")</f>
        <v/>
      </c>
      <c r="AF266" s="28" t="str">
        <f aca="false">IFERROR((Q266-AE266)/AE266*100,"")</f>
        <v/>
      </c>
    </row>
    <row r="267" customFormat="false" ht="15" hidden="false" customHeight="false" outlineLevel="0" collapsed="false">
      <c r="AD267" s="25" t="str">
        <f aca="false">IFERROR(1.96*R267/SQRT(J267*K267),"")</f>
        <v/>
      </c>
      <c r="AE267" s="25" t="str">
        <f aca="false">IFERROR(AVERAGEIFS(Q$2:Q$300,C$2:C$300,C267,G$2:G$300,G267,D$2:D$300,"BF16"),"")</f>
        <v/>
      </c>
      <c r="AF267" s="28" t="str">
        <f aca="false">IFERROR((Q267-AE267)/AE267*100,"")</f>
        <v/>
      </c>
    </row>
    <row r="268" customFormat="false" ht="15" hidden="false" customHeight="false" outlineLevel="0" collapsed="false">
      <c r="AD268" s="25" t="str">
        <f aca="false">IFERROR(1.96*R268/SQRT(J268*K268),"")</f>
        <v/>
      </c>
      <c r="AE268" s="25" t="str">
        <f aca="false">IFERROR(AVERAGEIFS(Q$2:Q$300,C$2:C$300,C268,G$2:G$300,G268,D$2:D$300,"BF16"),"")</f>
        <v/>
      </c>
      <c r="AF268" s="28" t="str">
        <f aca="false">IFERROR((Q268-AE268)/AE268*100,"")</f>
        <v/>
      </c>
    </row>
    <row r="269" customFormat="false" ht="15" hidden="false" customHeight="false" outlineLevel="0" collapsed="false">
      <c r="AD269" s="25" t="str">
        <f aca="false">IFERROR(1.96*R269/SQRT(J269*K269),"")</f>
        <v/>
      </c>
      <c r="AE269" s="25" t="str">
        <f aca="false">IFERROR(AVERAGEIFS(Q$2:Q$300,C$2:C$300,C269,G$2:G$300,G269,D$2:D$300,"BF16"),"")</f>
        <v/>
      </c>
      <c r="AF269" s="28" t="str">
        <f aca="false">IFERROR((Q269-AE269)/AE269*100,"")</f>
        <v/>
      </c>
    </row>
    <row r="270" customFormat="false" ht="15" hidden="false" customHeight="false" outlineLevel="0" collapsed="false">
      <c r="AD270" s="25" t="str">
        <f aca="false">IFERROR(1.96*R270/SQRT(J270*K270),"")</f>
        <v/>
      </c>
      <c r="AE270" s="25" t="str">
        <f aca="false">IFERROR(AVERAGEIFS(Q$2:Q$300,C$2:C$300,C270,G$2:G$300,G270,D$2:D$300,"BF16"),"")</f>
        <v/>
      </c>
      <c r="AF270" s="28" t="str">
        <f aca="false">IFERROR((Q270-AE270)/AE270*100,"")</f>
        <v/>
      </c>
    </row>
    <row r="271" customFormat="false" ht="15" hidden="false" customHeight="false" outlineLevel="0" collapsed="false">
      <c r="AD271" s="25" t="str">
        <f aca="false">IFERROR(1.96*R271/SQRT(J271*K271),"")</f>
        <v/>
      </c>
      <c r="AE271" s="25" t="str">
        <f aca="false">IFERROR(AVERAGEIFS(Q$2:Q$300,C$2:C$300,C271,G$2:G$300,G271,D$2:D$300,"BF16"),"")</f>
        <v/>
      </c>
      <c r="AF271" s="28" t="str">
        <f aca="false">IFERROR((Q271-AE271)/AE271*100,"")</f>
        <v/>
      </c>
    </row>
    <row r="272" customFormat="false" ht="15" hidden="false" customHeight="false" outlineLevel="0" collapsed="false">
      <c r="AD272" s="25" t="str">
        <f aca="false">IFERROR(1.96*R272/SQRT(J272*K272),"")</f>
        <v/>
      </c>
      <c r="AE272" s="25" t="str">
        <f aca="false">IFERROR(AVERAGEIFS(Q$2:Q$300,C$2:C$300,C272,G$2:G$300,G272,D$2:D$300,"BF16"),"")</f>
        <v/>
      </c>
      <c r="AF272" s="28" t="str">
        <f aca="false">IFERROR((Q272-AE272)/AE272*100,"")</f>
        <v/>
      </c>
    </row>
    <row r="273" customFormat="false" ht="15" hidden="false" customHeight="false" outlineLevel="0" collapsed="false">
      <c r="AD273" s="25" t="str">
        <f aca="false">IFERROR(1.96*R273/SQRT(J273*K273),"")</f>
        <v/>
      </c>
      <c r="AE273" s="25" t="str">
        <f aca="false">IFERROR(AVERAGEIFS(Q$2:Q$300,C$2:C$300,C273,G$2:G$300,G273,D$2:D$300,"BF16"),"")</f>
        <v/>
      </c>
      <c r="AF273" s="28" t="str">
        <f aca="false">IFERROR((Q273-AE273)/AE273*100,"")</f>
        <v/>
      </c>
    </row>
    <row r="274" customFormat="false" ht="15" hidden="false" customHeight="false" outlineLevel="0" collapsed="false">
      <c r="AD274" s="25" t="str">
        <f aca="false">IFERROR(1.96*R274/SQRT(J274*K274),"")</f>
        <v/>
      </c>
      <c r="AE274" s="25" t="str">
        <f aca="false">IFERROR(AVERAGEIFS(Q$2:Q$300,C$2:C$300,C274,G$2:G$300,G274,D$2:D$300,"BF16"),"")</f>
        <v/>
      </c>
      <c r="AF274" s="28" t="str">
        <f aca="false">IFERROR((Q274-AE274)/AE274*100,"")</f>
        <v/>
      </c>
    </row>
    <row r="275" customFormat="false" ht="15" hidden="false" customHeight="false" outlineLevel="0" collapsed="false">
      <c r="AD275" s="25" t="str">
        <f aca="false">IFERROR(1.96*R275/SQRT(J275*K275),"")</f>
        <v/>
      </c>
      <c r="AE275" s="25" t="str">
        <f aca="false">IFERROR(AVERAGEIFS(Q$2:Q$300,C$2:C$300,C275,G$2:G$300,G275,D$2:D$300,"BF16"),"")</f>
        <v/>
      </c>
      <c r="AF275" s="28" t="str">
        <f aca="false">IFERROR((Q275-AE275)/AE275*100,"")</f>
        <v/>
      </c>
    </row>
    <row r="276" customFormat="false" ht="15" hidden="false" customHeight="false" outlineLevel="0" collapsed="false">
      <c r="AD276" s="25" t="str">
        <f aca="false">IFERROR(1.96*R276/SQRT(J276*K276),"")</f>
        <v/>
      </c>
      <c r="AE276" s="25" t="str">
        <f aca="false">IFERROR(AVERAGEIFS(Q$2:Q$300,C$2:C$300,C276,G$2:G$300,G276,D$2:D$300,"BF16"),"")</f>
        <v/>
      </c>
      <c r="AF276" s="28" t="str">
        <f aca="false">IFERROR((Q276-AE276)/AE276*100,"")</f>
        <v/>
      </c>
    </row>
    <row r="277" customFormat="false" ht="15" hidden="false" customHeight="false" outlineLevel="0" collapsed="false">
      <c r="AD277" s="25" t="str">
        <f aca="false">IFERROR(1.96*R277/SQRT(J277*K277),"")</f>
        <v/>
      </c>
      <c r="AE277" s="25" t="str">
        <f aca="false">IFERROR(AVERAGEIFS(Q$2:Q$300,C$2:C$300,C277,G$2:G$300,G277,D$2:D$300,"BF16"),"")</f>
        <v/>
      </c>
      <c r="AF277" s="28" t="str">
        <f aca="false">IFERROR((Q277-AE277)/AE277*100,"")</f>
        <v/>
      </c>
    </row>
    <row r="278" customFormat="false" ht="15" hidden="false" customHeight="false" outlineLevel="0" collapsed="false">
      <c r="AD278" s="25" t="str">
        <f aca="false">IFERROR(1.96*R278/SQRT(J278*K278),"")</f>
        <v/>
      </c>
      <c r="AE278" s="25" t="str">
        <f aca="false">IFERROR(AVERAGEIFS(Q$2:Q$300,C$2:C$300,C278,G$2:G$300,G278,D$2:D$300,"BF16"),"")</f>
        <v/>
      </c>
      <c r="AF278" s="28" t="str">
        <f aca="false">IFERROR((Q278-AE278)/AE278*100,"")</f>
        <v/>
      </c>
    </row>
    <row r="279" customFormat="false" ht="15" hidden="false" customHeight="false" outlineLevel="0" collapsed="false">
      <c r="AD279" s="25" t="str">
        <f aca="false">IFERROR(1.96*R279/SQRT(J279*K279),"")</f>
        <v/>
      </c>
      <c r="AE279" s="25" t="str">
        <f aca="false">IFERROR(AVERAGEIFS(Q$2:Q$300,C$2:C$300,C279,G$2:G$300,G279,D$2:D$300,"BF16"),"")</f>
        <v/>
      </c>
      <c r="AF279" s="28" t="str">
        <f aca="false">IFERROR((Q279-AE279)/AE279*100,"")</f>
        <v/>
      </c>
    </row>
    <row r="280" customFormat="false" ht="15" hidden="false" customHeight="false" outlineLevel="0" collapsed="false">
      <c r="AD280" s="25" t="str">
        <f aca="false">IFERROR(1.96*R280/SQRT(J280*K280),"")</f>
        <v/>
      </c>
      <c r="AE280" s="25" t="str">
        <f aca="false">IFERROR(AVERAGEIFS(Q$2:Q$300,C$2:C$300,C280,G$2:G$300,G280,D$2:D$300,"BF16"),"")</f>
        <v/>
      </c>
      <c r="AF280" s="28" t="str">
        <f aca="false">IFERROR((Q280-AE280)/AE280*100,"")</f>
        <v/>
      </c>
    </row>
    <row r="281" customFormat="false" ht="15" hidden="false" customHeight="false" outlineLevel="0" collapsed="false">
      <c r="AD281" s="25" t="str">
        <f aca="false">IFERROR(1.96*R281/SQRT(J281*K281),"")</f>
        <v/>
      </c>
      <c r="AE281" s="25" t="str">
        <f aca="false">IFERROR(AVERAGEIFS(Q$2:Q$300,C$2:C$300,C281,G$2:G$300,G281,D$2:D$300,"BF16"),"")</f>
        <v/>
      </c>
      <c r="AF281" s="28" t="str">
        <f aca="false">IFERROR((Q281-AE281)/AE281*100,"")</f>
        <v/>
      </c>
    </row>
    <row r="282" customFormat="false" ht="15" hidden="false" customHeight="false" outlineLevel="0" collapsed="false">
      <c r="AD282" s="25" t="str">
        <f aca="false">IFERROR(1.96*R282/SQRT(J282*K282),"")</f>
        <v/>
      </c>
      <c r="AE282" s="25" t="str">
        <f aca="false">IFERROR(AVERAGEIFS(Q$2:Q$300,C$2:C$300,C282,G$2:G$300,G282,D$2:D$300,"BF16"),"")</f>
        <v/>
      </c>
      <c r="AF282" s="28" t="str">
        <f aca="false">IFERROR((Q282-AE282)/AE282*100,"")</f>
        <v/>
      </c>
    </row>
    <row r="283" customFormat="false" ht="15" hidden="false" customHeight="false" outlineLevel="0" collapsed="false">
      <c r="AD283" s="25" t="str">
        <f aca="false">IFERROR(1.96*R283/SQRT(J283*K283),"")</f>
        <v/>
      </c>
      <c r="AE283" s="25" t="str">
        <f aca="false">IFERROR(AVERAGEIFS(Q$2:Q$300,C$2:C$300,C283,G$2:G$300,G283,D$2:D$300,"BF16"),"")</f>
        <v/>
      </c>
      <c r="AF283" s="28" t="str">
        <f aca="false">IFERROR((Q283-AE283)/AE283*100,"")</f>
        <v/>
      </c>
    </row>
    <row r="284" customFormat="false" ht="15" hidden="false" customHeight="false" outlineLevel="0" collapsed="false">
      <c r="AD284" s="25" t="str">
        <f aca="false">IFERROR(1.96*R284/SQRT(J284*K284),"")</f>
        <v/>
      </c>
      <c r="AE284" s="25" t="str">
        <f aca="false">IFERROR(AVERAGEIFS(Q$2:Q$300,C$2:C$300,C284,G$2:G$300,G284,D$2:D$300,"BF16"),"")</f>
        <v/>
      </c>
      <c r="AF284" s="28" t="str">
        <f aca="false">IFERROR((Q284-AE284)/AE284*100,"")</f>
        <v/>
      </c>
    </row>
    <row r="285" customFormat="false" ht="15" hidden="false" customHeight="false" outlineLevel="0" collapsed="false">
      <c r="AD285" s="25" t="str">
        <f aca="false">IFERROR(1.96*R285/SQRT(J285*K285),"")</f>
        <v/>
      </c>
      <c r="AE285" s="25" t="str">
        <f aca="false">IFERROR(AVERAGEIFS(Q$2:Q$300,C$2:C$300,C285,G$2:G$300,G285,D$2:D$300,"BF16"),"")</f>
        <v/>
      </c>
      <c r="AF285" s="28" t="str">
        <f aca="false">IFERROR((Q285-AE285)/AE285*100,"")</f>
        <v/>
      </c>
    </row>
    <row r="286" customFormat="false" ht="15" hidden="false" customHeight="false" outlineLevel="0" collapsed="false">
      <c r="AD286" s="25" t="str">
        <f aca="false">IFERROR(1.96*R286/SQRT(J286*K286),"")</f>
        <v/>
      </c>
      <c r="AE286" s="25" t="str">
        <f aca="false">IFERROR(AVERAGEIFS(Q$2:Q$300,C$2:C$300,C286,G$2:G$300,G286,D$2:D$300,"BF16"),"")</f>
        <v/>
      </c>
      <c r="AF286" s="28" t="str">
        <f aca="false">IFERROR((Q286-AE286)/AE286*100,"")</f>
        <v/>
      </c>
    </row>
    <row r="287" customFormat="false" ht="15" hidden="false" customHeight="false" outlineLevel="0" collapsed="false">
      <c r="AD287" s="25" t="str">
        <f aca="false">IFERROR(1.96*R287/SQRT(J287*K287),"")</f>
        <v/>
      </c>
      <c r="AE287" s="25" t="str">
        <f aca="false">IFERROR(AVERAGEIFS(Q$2:Q$300,C$2:C$300,C287,G$2:G$300,G287,D$2:D$300,"BF16"),"")</f>
        <v/>
      </c>
      <c r="AF287" s="28" t="str">
        <f aca="false">IFERROR((Q287-AE287)/AE287*100,"")</f>
        <v/>
      </c>
    </row>
    <row r="288" customFormat="false" ht="15" hidden="false" customHeight="false" outlineLevel="0" collapsed="false">
      <c r="AD288" s="25" t="str">
        <f aca="false">IFERROR(1.96*R288/SQRT(J288*K288),"")</f>
        <v/>
      </c>
      <c r="AE288" s="25" t="str">
        <f aca="false">IFERROR(AVERAGEIFS(Q$2:Q$300,C$2:C$300,C288,G$2:G$300,G288,D$2:D$300,"BF16"),"")</f>
        <v/>
      </c>
      <c r="AF288" s="28" t="str">
        <f aca="false">IFERROR((Q288-AE288)/AE288*100,"")</f>
        <v/>
      </c>
    </row>
    <row r="289" customFormat="false" ht="15" hidden="false" customHeight="false" outlineLevel="0" collapsed="false">
      <c r="AD289" s="25" t="str">
        <f aca="false">IFERROR(1.96*R289/SQRT(J289*K289),"")</f>
        <v/>
      </c>
      <c r="AE289" s="25" t="str">
        <f aca="false">IFERROR(AVERAGEIFS(Q$2:Q$300,C$2:C$300,C289,G$2:G$300,G289,D$2:D$300,"BF16"),"")</f>
        <v/>
      </c>
      <c r="AF289" s="28" t="str">
        <f aca="false">IFERROR((Q289-AE289)/AE289*100,"")</f>
        <v/>
      </c>
    </row>
    <row r="290" customFormat="false" ht="15" hidden="false" customHeight="false" outlineLevel="0" collapsed="false">
      <c r="AD290" s="25" t="str">
        <f aca="false">IFERROR(1.96*R290/SQRT(J290*K290),"")</f>
        <v/>
      </c>
      <c r="AE290" s="25" t="str">
        <f aca="false">IFERROR(AVERAGEIFS(Q$2:Q$300,C$2:C$300,C290,G$2:G$300,G290,D$2:D$300,"BF16"),"")</f>
        <v/>
      </c>
      <c r="AF290" s="28" t="str">
        <f aca="false">IFERROR((Q290-AE290)/AE290*100,"")</f>
        <v/>
      </c>
    </row>
    <row r="291" customFormat="false" ht="15" hidden="false" customHeight="false" outlineLevel="0" collapsed="false">
      <c r="AD291" s="25" t="str">
        <f aca="false">IFERROR(1.96*R291/SQRT(J291*K291),"")</f>
        <v/>
      </c>
      <c r="AE291" s="25" t="str">
        <f aca="false">IFERROR(AVERAGEIFS(Q$2:Q$300,C$2:C$300,C291,G$2:G$300,G291,D$2:D$300,"BF16"),"")</f>
        <v/>
      </c>
      <c r="AF291" s="28" t="str">
        <f aca="false">IFERROR((Q291-AE291)/AE291*100,"")</f>
        <v/>
      </c>
    </row>
    <row r="292" customFormat="false" ht="15" hidden="false" customHeight="false" outlineLevel="0" collapsed="false">
      <c r="AD292" s="25" t="str">
        <f aca="false">IFERROR(1.96*R292/SQRT(J292*K292),"")</f>
        <v/>
      </c>
      <c r="AE292" s="25" t="str">
        <f aca="false">IFERROR(AVERAGEIFS(Q$2:Q$300,C$2:C$300,C292,G$2:G$300,G292,D$2:D$300,"BF16"),"")</f>
        <v/>
      </c>
      <c r="AF292" s="28" t="str">
        <f aca="false">IFERROR((Q292-AE292)/AE292*100,"")</f>
        <v/>
      </c>
    </row>
    <row r="293" customFormat="false" ht="15" hidden="false" customHeight="false" outlineLevel="0" collapsed="false">
      <c r="AD293" s="25" t="str">
        <f aca="false">IFERROR(1.96*R293/SQRT(J293*K293),"")</f>
        <v/>
      </c>
      <c r="AE293" s="25" t="str">
        <f aca="false">IFERROR(AVERAGEIFS(Q$2:Q$300,C$2:C$300,C293,G$2:G$300,G293,D$2:D$300,"BF16"),"")</f>
        <v/>
      </c>
      <c r="AF293" s="28" t="str">
        <f aca="false">IFERROR((Q293-AE293)/AE293*100,"")</f>
        <v/>
      </c>
    </row>
    <row r="294" customFormat="false" ht="15" hidden="false" customHeight="false" outlineLevel="0" collapsed="false">
      <c r="AD294" s="25" t="str">
        <f aca="false">IFERROR(1.96*R294/SQRT(J294*K294),"")</f>
        <v/>
      </c>
      <c r="AE294" s="25" t="str">
        <f aca="false">IFERROR(AVERAGEIFS(Q$2:Q$300,C$2:C$300,C294,G$2:G$300,G294,D$2:D$300,"BF16"),"")</f>
        <v/>
      </c>
      <c r="AF294" s="28" t="str">
        <f aca="false">IFERROR((Q294-AE294)/AE294*100,"")</f>
        <v/>
      </c>
    </row>
    <row r="295" customFormat="false" ht="15" hidden="false" customHeight="false" outlineLevel="0" collapsed="false">
      <c r="AD295" s="25" t="str">
        <f aca="false">IFERROR(1.96*R295/SQRT(J295*K295),"")</f>
        <v/>
      </c>
      <c r="AE295" s="25" t="str">
        <f aca="false">IFERROR(AVERAGEIFS(Q$2:Q$300,C$2:C$300,C295,G$2:G$300,G295,D$2:D$300,"BF16"),"")</f>
        <v/>
      </c>
      <c r="AF295" s="28" t="str">
        <f aca="false">IFERROR((Q295-AE295)/AE295*100,"")</f>
        <v/>
      </c>
    </row>
    <row r="296" customFormat="false" ht="15" hidden="false" customHeight="false" outlineLevel="0" collapsed="false">
      <c r="AD296" s="25" t="str">
        <f aca="false">IFERROR(1.96*R296/SQRT(J296*K296),"")</f>
        <v/>
      </c>
      <c r="AE296" s="25" t="str">
        <f aca="false">IFERROR(AVERAGEIFS(Q$2:Q$300,C$2:C$300,C296,G$2:G$300,G296,D$2:D$300,"BF16"),"")</f>
        <v/>
      </c>
      <c r="AF296" s="28" t="str">
        <f aca="false">IFERROR((Q296-AE296)/AE296*100,"")</f>
        <v/>
      </c>
    </row>
    <row r="297" customFormat="false" ht="15" hidden="false" customHeight="false" outlineLevel="0" collapsed="false">
      <c r="AD297" s="25" t="str">
        <f aca="false">IFERROR(1.96*R297/SQRT(J297*K297),"")</f>
        <v/>
      </c>
      <c r="AE297" s="25" t="str">
        <f aca="false">IFERROR(AVERAGEIFS(Q$2:Q$300,C$2:C$300,C297,G$2:G$300,G297,D$2:D$300,"BF16"),"")</f>
        <v/>
      </c>
      <c r="AF297" s="28" t="str">
        <f aca="false">IFERROR((Q297-AE297)/AE297*100,"")</f>
        <v/>
      </c>
    </row>
    <row r="298" customFormat="false" ht="15" hidden="false" customHeight="false" outlineLevel="0" collapsed="false">
      <c r="AD298" s="25" t="str">
        <f aca="false">IFERROR(1.96*R298/SQRT(J298*K298),"")</f>
        <v/>
      </c>
      <c r="AE298" s="25" t="str">
        <f aca="false">IFERROR(AVERAGEIFS(Q$2:Q$300,C$2:C$300,C298,G$2:G$300,G298,D$2:D$300,"BF16"),"")</f>
        <v/>
      </c>
      <c r="AF298" s="28" t="str">
        <f aca="false">IFERROR((Q298-AE298)/AE298*100,"")</f>
        <v/>
      </c>
    </row>
    <row r="299" customFormat="false" ht="15" hidden="false" customHeight="false" outlineLevel="0" collapsed="false">
      <c r="AD299" s="25" t="str">
        <f aca="false">IFERROR(1.96*R299/SQRT(J299*K299),"")</f>
        <v/>
      </c>
      <c r="AE299" s="25" t="str">
        <f aca="false">IFERROR(AVERAGEIFS(Q$2:Q$300,C$2:C$300,C299,G$2:G$300,G299,D$2:D$300,"BF16"),"")</f>
        <v/>
      </c>
      <c r="AF299" s="28" t="str">
        <f aca="false">IFERROR((Q299-AE299)/AE299*100,"")</f>
        <v/>
      </c>
    </row>
    <row r="300" customFormat="false" ht="15" hidden="false" customHeight="false" outlineLevel="0" collapsed="false">
      <c r="AD300" s="25" t="str">
        <f aca="false">IFERROR(1.96*R300/SQRT(J300*K300),"")</f>
        <v/>
      </c>
      <c r="AE300" s="25" t="str">
        <f aca="false">IFERROR(AVERAGEIFS(Q$2:Q$300,C$2:C$300,C300,G$2:G$300,G300,D$2:D$300,"BF16"),"")</f>
        <v/>
      </c>
      <c r="AF300" s="28" t="str">
        <f aca="false">IFERROR((Q300-AE300)/AE300*100,"")</f>
        <v/>
      </c>
    </row>
  </sheetData>
  <autoFilter ref="A1:AG3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10" min="6" style="0" width="15"/>
    <col collapsed="false" customWidth="true" hidden="false" outlineLevel="0" max="11" min="11" style="0" width="16"/>
    <col collapsed="false" customWidth="true" hidden="false" outlineLevel="0" max="13" min="12" style="0" width="13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5"/>
  </cols>
  <sheetData>
    <row r="1" customFormat="false" ht="17.35" hidden="false" customHeight="false" outlineLevel="0" collapsed="false">
      <c r="A1" s="6" t="s">
        <v>783</v>
      </c>
    </row>
    <row r="2" customFormat="false" ht="15" hidden="false" customHeight="false" outlineLevel="0" collapsed="false">
      <c r="A2" s="5" t="s">
        <v>784</v>
      </c>
    </row>
    <row r="4" customFormat="false" ht="33.75" hidden="false" customHeight="true" outlineLevel="0" collapsed="false">
      <c r="A4" s="7" t="s">
        <v>65</v>
      </c>
      <c r="B4" s="7" t="s">
        <v>522</v>
      </c>
      <c r="C4" s="7" t="s">
        <v>523</v>
      </c>
      <c r="D4" s="7" t="s">
        <v>524</v>
      </c>
      <c r="E4" s="7" t="s">
        <v>785</v>
      </c>
      <c r="F4" s="7" t="s">
        <v>786</v>
      </c>
      <c r="G4" s="7" t="s">
        <v>787</v>
      </c>
      <c r="H4" s="7" t="s">
        <v>788</v>
      </c>
      <c r="I4" s="7" t="s">
        <v>789</v>
      </c>
      <c r="J4" s="7" t="s">
        <v>790</v>
      </c>
      <c r="K4" s="7" t="s">
        <v>791</v>
      </c>
      <c r="L4" s="7" t="s">
        <v>792</v>
      </c>
      <c r="M4" s="7" t="s">
        <v>793</v>
      </c>
      <c r="N4" s="7" t="s">
        <v>794</v>
      </c>
      <c r="O4" s="7" t="s">
        <v>795</v>
      </c>
      <c r="P4" s="7" t="s">
        <v>796</v>
      </c>
    </row>
    <row r="5" customFormat="false" ht="15" hidden="false" customHeight="false" outlineLevel="0" collapsed="false">
      <c r="A5" s="29" t="str">
        <f aca="false">IF(Models!A5="","",Models!A5)</f>
        <v>deepseek-v3</v>
      </c>
      <c r="B5" s="29" t="str">
        <f aca="false">IF(Models!B5="","",Models!B5)</f>
        <v>DeepSeek-V3</v>
      </c>
      <c r="C5" s="29" t="str">
        <f aca="false">IF(Models!C5="","",Models!C5)</f>
        <v>DeepSeek</v>
      </c>
      <c r="D5" s="29" t="str">
        <f aca="false">IF(Models!D5="","",Models!D5)</f>
        <v>China</v>
      </c>
      <c r="E5" s="30" t="n">
        <f aca="false">COUNTIFS(Perf_Results!$C$2:$C$400,$A5)</f>
        <v>0</v>
      </c>
      <c r="F5" s="20" t="str">
        <f aca="false">IF($E5=0,"",IFERROR(_xlfn.MAXIFS(Perf_Results!$AI$2:$AI$400,Perf_Results!$C$2:$C$400,$A5),""))</f>
        <v/>
      </c>
      <c r="G5" s="20" t="str">
        <f aca="false">IF($E5=0,"",IFERROR(_xlfn.MAXIFS(Perf_Results!$AS$2:$AS$400,Perf_Results!$C$2:$C$400,$A5),""))</f>
        <v/>
      </c>
      <c r="H5" s="20" t="str">
        <f aca="false">IFERROR(AVERAGEIFS(Perf_Results!$Z$2:$Z$400,Perf_Results!$C$2:$C$400,$A5,Perf_Results!$O$2:$O$400,1),"")</f>
        <v/>
      </c>
      <c r="I5" s="31" t="str">
        <f aca="false">IFERROR(AVERAGEIFS(Perf_Results!$AL$2:$AL$400,Perf_Results!$C$2:$C$400,$A5),"")</f>
        <v/>
      </c>
      <c r="J5" s="32" t="str">
        <f aca="false">IF($E5=0,"",IFERROR(_xlfn.MAXIFS(Perf_Results!$AU$2:$AU$400,Perf_Results!$C$2:$C$400,$A5),""))</f>
        <v/>
      </c>
      <c r="K5" s="33" t="str">
        <f aca="false">IF($E5=0,"",IFERROR(_xlfn.MINIFS(Perf_Results!$AW$2:$AW$400,Perf_Results!$C$2:$C$400,$A5),""))</f>
        <v/>
      </c>
      <c r="L5" s="34" t="str">
        <f aca="false">IFERROR(AVERAGEIFS(Perf_Results!$AR$2:$AR$400,Perf_Results!$C$2:$C$400,$A5),"")</f>
        <v/>
      </c>
      <c r="M5" s="30" t="n">
        <f aca="false">COUNTIFS(Perf_Results!$C$2:$C$400,$A5,Perf_Results!$AX$2:$AX$400,"PASS",Perf_Results!$AY$2:$AY$400,"PASS")</f>
        <v>0</v>
      </c>
      <c r="N5" s="30" t="n">
        <f aca="false">COUNTIFS(Quality_Results!$C$2:$C$300,$A5)</f>
        <v>0</v>
      </c>
      <c r="O5" s="32" t="str">
        <f aca="false">IFERROR(AVERAGEIFS(Quality_Results!$Q$2:$Q$300,Quality_Results!$C$2:$C$300,$A5),"")</f>
        <v/>
      </c>
      <c r="P5" s="31" t="str">
        <f aca="false">IFERROR(AVERAGEIFS(Quality_Results!$AF$2:$AF$300,Quality_Results!$C$2:$C$300,$A5),"")</f>
        <v/>
      </c>
    </row>
    <row r="6" customFormat="false" ht="15" hidden="false" customHeight="false" outlineLevel="0" collapsed="false">
      <c r="A6" s="29" t="str">
        <f aca="false">IF(Models!A6="","",Models!A6)</f>
        <v>deepseek-r1</v>
      </c>
      <c r="B6" s="29" t="str">
        <f aca="false">IF(Models!B6="","",Models!B6)</f>
        <v>DeepSeek-R1</v>
      </c>
      <c r="C6" s="29" t="str">
        <f aca="false">IF(Models!C6="","",Models!C6)</f>
        <v>DeepSeek</v>
      </c>
      <c r="D6" s="29" t="str">
        <f aca="false">IF(Models!D6="","",Models!D6)</f>
        <v>China</v>
      </c>
      <c r="E6" s="30" t="n">
        <f aca="false">COUNTIFS(Perf_Results!$C$2:$C$400,$A6)</f>
        <v>0</v>
      </c>
      <c r="F6" s="20" t="str">
        <f aca="false">IF($E6=0,"",IFERROR(_xlfn.MAXIFS(Perf_Results!$AI$2:$AI$400,Perf_Results!$C$2:$C$400,$A6),""))</f>
        <v/>
      </c>
      <c r="G6" s="20" t="str">
        <f aca="false">IF($E6=0,"",IFERROR(_xlfn.MAXIFS(Perf_Results!$AS$2:$AS$400,Perf_Results!$C$2:$C$400,$A6),""))</f>
        <v/>
      </c>
      <c r="H6" s="20" t="str">
        <f aca="false">IFERROR(AVERAGEIFS(Perf_Results!$Z$2:$Z$400,Perf_Results!$C$2:$C$400,$A6,Perf_Results!$O$2:$O$400,1),"")</f>
        <v/>
      </c>
      <c r="I6" s="31" t="str">
        <f aca="false">IFERROR(AVERAGEIFS(Perf_Results!$AL$2:$AL$400,Perf_Results!$C$2:$C$400,$A6),"")</f>
        <v/>
      </c>
      <c r="J6" s="32" t="str">
        <f aca="false">IF($E6=0,"",IFERROR(_xlfn.MAXIFS(Perf_Results!$AU$2:$AU$400,Perf_Results!$C$2:$C$400,$A6),""))</f>
        <v/>
      </c>
      <c r="K6" s="33" t="str">
        <f aca="false">IF($E6=0,"",IFERROR(_xlfn.MINIFS(Perf_Results!$AW$2:$AW$400,Perf_Results!$C$2:$C$400,$A6),""))</f>
        <v/>
      </c>
      <c r="L6" s="34" t="str">
        <f aca="false">IFERROR(AVERAGEIFS(Perf_Results!$AR$2:$AR$400,Perf_Results!$C$2:$C$400,$A6),"")</f>
        <v/>
      </c>
      <c r="M6" s="30" t="n">
        <f aca="false">COUNTIFS(Perf_Results!$C$2:$C$400,$A6,Perf_Results!$AX$2:$AX$400,"PASS",Perf_Results!$AY$2:$AY$400,"PASS")</f>
        <v>0</v>
      </c>
      <c r="N6" s="30" t="n">
        <f aca="false">COUNTIFS(Quality_Results!$C$2:$C$300,$A6)</f>
        <v>0</v>
      </c>
      <c r="O6" s="32" t="str">
        <f aca="false">IFERROR(AVERAGEIFS(Quality_Results!$Q$2:$Q$300,Quality_Results!$C$2:$C$300,$A6),"")</f>
        <v/>
      </c>
      <c r="P6" s="31" t="str">
        <f aca="false">IFERROR(AVERAGEIFS(Quality_Results!$AF$2:$AF$300,Quality_Results!$C$2:$C$300,$A6),"")</f>
        <v/>
      </c>
    </row>
    <row r="7" customFormat="false" ht="15" hidden="false" customHeight="false" outlineLevel="0" collapsed="false">
      <c r="A7" s="29" t="str">
        <f aca="false">IF(Models!A7="","",Models!A7)</f>
        <v>qwen3-235b-a22b</v>
      </c>
      <c r="B7" s="29" t="str">
        <f aca="false">IF(Models!B7="","",Models!B7)</f>
        <v>Qwen3-235B-A22B</v>
      </c>
      <c r="C7" s="29" t="str">
        <f aca="false">IF(Models!C7="","",Models!C7)</f>
        <v>Alibaba</v>
      </c>
      <c r="D7" s="29" t="str">
        <f aca="false">IF(Models!D7="","",Models!D7)</f>
        <v>China</v>
      </c>
      <c r="E7" s="30" t="n">
        <f aca="false">COUNTIFS(Perf_Results!$C$2:$C$400,$A7)</f>
        <v>0</v>
      </c>
      <c r="F7" s="20" t="str">
        <f aca="false">IF($E7=0,"",IFERROR(_xlfn.MAXIFS(Perf_Results!$AI$2:$AI$400,Perf_Results!$C$2:$C$400,$A7),""))</f>
        <v/>
      </c>
      <c r="G7" s="20" t="str">
        <f aca="false">IF($E7=0,"",IFERROR(_xlfn.MAXIFS(Perf_Results!$AS$2:$AS$400,Perf_Results!$C$2:$C$400,$A7),""))</f>
        <v/>
      </c>
      <c r="H7" s="20" t="str">
        <f aca="false">IFERROR(AVERAGEIFS(Perf_Results!$Z$2:$Z$400,Perf_Results!$C$2:$C$400,$A7,Perf_Results!$O$2:$O$400,1),"")</f>
        <v/>
      </c>
      <c r="I7" s="31" t="str">
        <f aca="false">IFERROR(AVERAGEIFS(Perf_Results!$AL$2:$AL$400,Perf_Results!$C$2:$C$400,$A7),"")</f>
        <v/>
      </c>
      <c r="J7" s="32" t="str">
        <f aca="false">IF($E7=0,"",IFERROR(_xlfn.MAXIFS(Perf_Results!$AU$2:$AU$400,Perf_Results!$C$2:$C$400,$A7),""))</f>
        <v/>
      </c>
      <c r="K7" s="33" t="str">
        <f aca="false">IF($E7=0,"",IFERROR(_xlfn.MINIFS(Perf_Results!$AW$2:$AW$400,Perf_Results!$C$2:$C$400,$A7),""))</f>
        <v/>
      </c>
      <c r="L7" s="34" t="str">
        <f aca="false">IFERROR(AVERAGEIFS(Perf_Results!$AR$2:$AR$400,Perf_Results!$C$2:$C$400,$A7),"")</f>
        <v/>
      </c>
      <c r="M7" s="30" t="n">
        <f aca="false">COUNTIFS(Perf_Results!$C$2:$C$400,$A7,Perf_Results!$AX$2:$AX$400,"PASS",Perf_Results!$AY$2:$AY$400,"PASS")</f>
        <v>0</v>
      </c>
      <c r="N7" s="30" t="n">
        <f aca="false">COUNTIFS(Quality_Results!$C$2:$C$300,$A7)</f>
        <v>0</v>
      </c>
      <c r="O7" s="32" t="str">
        <f aca="false">IFERROR(AVERAGEIFS(Quality_Results!$Q$2:$Q$300,Quality_Results!$C$2:$C$300,$A7),"")</f>
        <v/>
      </c>
      <c r="P7" s="31" t="str">
        <f aca="false">IFERROR(AVERAGEIFS(Quality_Results!$AF$2:$AF$300,Quality_Results!$C$2:$C$300,$A7),"")</f>
        <v/>
      </c>
    </row>
    <row r="8" customFormat="false" ht="15" hidden="false" customHeight="false" outlineLevel="0" collapsed="false">
      <c r="A8" s="29" t="str">
        <f aca="false">IF(Models!A8="","",Models!A8)</f>
        <v>qwen3-32b</v>
      </c>
      <c r="B8" s="29" t="str">
        <f aca="false">IF(Models!B8="","",Models!B8)</f>
        <v>Qwen3-32B</v>
      </c>
      <c r="C8" s="29" t="str">
        <f aca="false">IF(Models!C8="","",Models!C8)</f>
        <v>Alibaba</v>
      </c>
      <c r="D8" s="29" t="str">
        <f aca="false">IF(Models!D8="","",Models!D8)</f>
        <v>China</v>
      </c>
      <c r="E8" s="30" t="n">
        <f aca="false">COUNTIFS(Perf_Results!$C$2:$C$400,$A8)</f>
        <v>0</v>
      </c>
      <c r="F8" s="20" t="str">
        <f aca="false">IF($E8=0,"",IFERROR(_xlfn.MAXIFS(Perf_Results!$AI$2:$AI$400,Perf_Results!$C$2:$C$400,$A8),""))</f>
        <v/>
      </c>
      <c r="G8" s="20" t="str">
        <f aca="false">IF($E8=0,"",IFERROR(_xlfn.MAXIFS(Perf_Results!$AS$2:$AS$400,Perf_Results!$C$2:$C$400,$A8),""))</f>
        <v/>
      </c>
      <c r="H8" s="20" t="str">
        <f aca="false">IFERROR(AVERAGEIFS(Perf_Results!$Z$2:$Z$400,Perf_Results!$C$2:$C$400,$A8,Perf_Results!$O$2:$O$400,1),"")</f>
        <v/>
      </c>
      <c r="I8" s="31" t="str">
        <f aca="false">IFERROR(AVERAGEIFS(Perf_Results!$AL$2:$AL$400,Perf_Results!$C$2:$C$400,$A8),"")</f>
        <v/>
      </c>
      <c r="J8" s="32" t="str">
        <f aca="false">IF($E8=0,"",IFERROR(_xlfn.MAXIFS(Perf_Results!$AU$2:$AU$400,Perf_Results!$C$2:$C$400,$A8),""))</f>
        <v/>
      </c>
      <c r="K8" s="33" t="str">
        <f aca="false">IF($E8=0,"",IFERROR(_xlfn.MINIFS(Perf_Results!$AW$2:$AW$400,Perf_Results!$C$2:$C$400,$A8),""))</f>
        <v/>
      </c>
      <c r="L8" s="34" t="str">
        <f aca="false">IFERROR(AVERAGEIFS(Perf_Results!$AR$2:$AR$400,Perf_Results!$C$2:$C$400,$A8),"")</f>
        <v/>
      </c>
      <c r="M8" s="30" t="n">
        <f aca="false">COUNTIFS(Perf_Results!$C$2:$C$400,$A8,Perf_Results!$AX$2:$AX$400,"PASS",Perf_Results!$AY$2:$AY$400,"PASS")</f>
        <v>0</v>
      </c>
      <c r="N8" s="30" t="n">
        <f aca="false">COUNTIFS(Quality_Results!$C$2:$C$300,$A8)</f>
        <v>0</v>
      </c>
      <c r="O8" s="32" t="str">
        <f aca="false">IFERROR(AVERAGEIFS(Quality_Results!$Q$2:$Q$300,Quality_Results!$C$2:$C$300,$A8),"")</f>
        <v/>
      </c>
      <c r="P8" s="31" t="str">
        <f aca="false">IFERROR(AVERAGEIFS(Quality_Results!$AF$2:$AF$300,Quality_Results!$C$2:$C$300,$A8),"")</f>
        <v/>
      </c>
    </row>
    <row r="9" customFormat="false" ht="15" hidden="false" customHeight="false" outlineLevel="0" collapsed="false">
      <c r="A9" s="29" t="str">
        <f aca="false">IF(Models!A9="","",Models!A9)</f>
        <v>llama-3.3-70b</v>
      </c>
      <c r="B9" s="29" t="str">
        <f aca="false">IF(Models!B9="","",Models!B9)</f>
        <v>Llama 3.3 70B Instruct</v>
      </c>
      <c r="C9" s="29" t="str">
        <f aca="false">IF(Models!C9="","",Models!C9)</f>
        <v>Meta</v>
      </c>
      <c r="D9" s="29" t="str">
        <f aca="false">IF(Models!D9="","",Models!D9)</f>
        <v>USA</v>
      </c>
      <c r="E9" s="30" t="n">
        <f aca="false">COUNTIFS(Perf_Results!$C$2:$C$400,$A9)</f>
        <v>0</v>
      </c>
      <c r="F9" s="20" t="str">
        <f aca="false">IF($E9=0,"",IFERROR(_xlfn.MAXIFS(Perf_Results!$AI$2:$AI$400,Perf_Results!$C$2:$C$400,$A9),""))</f>
        <v/>
      </c>
      <c r="G9" s="20" t="str">
        <f aca="false">IF($E9=0,"",IFERROR(_xlfn.MAXIFS(Perf_Results!$AS$2:$AS$400,Perf_Results!$C$2:$C$400,$A9),""))</f>
        <v/>
      </c>
      <c r="H9" s="20" t="str">
        <f aca="false">IFERROR(AVERAGEIFS(Perf_Results!$Z$2:$Z$400,Perf_Results!$C$2:$C$400,$A9,Perf_Results!$O$2:$O$400,1),"")</f>
        <v/>
      </c>
      <c r="I9" s="31" t="str">
        <f aca="false">IFERROR(AVERAGEIFS(Perf_Results!$AL$2:$AL$400,Perf_Results!$C$2:$C$400,$A9),"")</f>
        <v/>
      </c>
      <c r="J9" s="32" t="str">
        <f aca="false">IF($E9=0,"",IFERROR(_xlfn.MAXIFS(Perf_Results!$AU$2:$AU$400,Perf_Results!$C$2:$C$400,$A9),""))</f>
        <v/>
      </c>
      <c r="K9" s="33" t="str">
        <f aca="false">IF($E9=0,"",IFERROR(_xlfn.MINIFS(Perf_Results!$AW$2:$AW$400,Perf_Results!$C$2:$C$400,$A9),""))</f>
        <v/>
      </c>
      <c r="L9" s="34" t="str">
        <f aca="false">IFERROR(AVERAGEIFS(Perf_Results!$AR$2:$AR$400,Perf_Results!$C$2:$C$400,$A9),"")</f>
        <v/>
      </c>
      <c r="M9" s="30" t="n">
        <f aca="false">COUNTIFS(Perf_Results!$C$2:$C$400,$A9,Perf_Results!$AX$2:$AX$400,"PASS",Perf_Results!$AY$2:$AY$400,"PASS")</f>
        <v>0</v>
      </c>
      <c r="N9" s="30" t="n">
        <f aca="false">COUNTIFS(Quality_Results!$C$2:$C$300,$A9)</f>
        <v>0</v>
      </c>
      <c r="O9" s="32" t="str">
        <f aca="false">IFERROR(AVERAGEIFS(Quality_Results!$Q$2:$Q$300,Quality_Results!$C$2:$C$300,$A9),"")</f>
        <v/>
      </c>
      <c r="P9" s="31" t="str">
        <f aca="false">IFERROR(AVERAGEIFS(Quality_Results!$AF$2:$AF$300,Quality_Results!$C$2:$C$300,$A9),"")</f>
        <v/>
      </c>
    </row>
    <row r="10" customFormat="false" ht="15" hidden="false" customHeight="false" outlineLevel="0" collapsed="false">
      <c r="A10" s="29" t="str">
        <f aca="false">IF(Models!A10="","",Models!A10)</f>
        <v>llama-4-scout</v>
      </c>
      <c r="B10" s="29" t="str">
        <f aca="false">IF(Models!B10="","",Models!B10)</f>
        <v>Llama 4 Scout</v>
      </c>
      <c r="C10" s="29" t="str">
        <f aca="false">IF(Models!C10="","",Models!C10)</f>
        <v>Meta</v>
      </c>
      <c r="D10" s="29" t="str">
        <f aca="false">IF(Models!D10="","",Models!D10)</f>
        <v>USA</v>
      </c>
      <c r="E10" s="30" t="n">
        <f aca="false">COUNTIFS(Perf_Results!$C$2:$C$400,$A10)</f>
        <v>0</v>
      </c>
      <c r="F10" s="20" t="str">
        <f aca="false">IF($E10=0,"",IFERROR(_xlfn.MAXIFS(Perf_Results!$AI$2:$AI$400,Perf_Results!$C$2:$C$400,$A10),""))</f>
        <v/>
      </c>
      <c r="G10" s="20" t="str">
        <f aca="false">IF($E10=0,"",IFERROR(_xlfn.MAXIFS(Perf_Results!$AS$2:$AS$400,Perf_Results!$C$2:$C$400,$A10),""))</f>
        <v/>
      </c>
      <c r="H10" s="20" t="str">
        <f aca="false">IFERROR(AVERAGEIFS(Perf_Results!$Z$2:$Z$400,Perf_Results!$C$2:$C$400,$A10,Perf_Results!$O$2:$O$400,1),"")</f>
        <v/>
      </c>
      <c r="I10" s="31" t="str">
        <f aca="false">IFERROR(AVERAGEIFS(Perf_Results!$AL$2:$AL$400,Perf_Results!$C$2:$C$400,$A10),"")</f>
        <v/>
      </c>
      <c r="J10" s="32" t="str">
        <f aca="false">IF($E10=0,"",IFERROR(_xlfn.MAXIFS(Perf_Results!$AU$2:$AU$400,Perf_Results!$C$2:$C$400,$A10),""))</f>
        <v/>
      </c>
      <c r="K10" s="33" t="str">
        <f aca="false">IF($E10=0,"",IFERROR(_xlfn.MINIFS(Perf_Results!$AW$2:$AW$400,Perf_Results!$C$2:$C$400,$A10),""))</f>
        <v/>
      </c>
      <c r="L10" s="34" t="str">
        <f aca="false">IFERROR(AVERAGEIFS(Perf_Results!$AR$2:$AR$400,Perf_Results!$C$2:$C$400,$A10),"")</f>
        <v/>
      </c>
      <c r="M10" s="30" t="n">
        <f aca="false">COUNTIFS(Perf_Results!$C$2:$C$400,$A10,Perf_Results!$AX$2:$AX$400,"PASS",Perf_Results!$AY$2:$AY$400,"PASS")</f>
        <v>0</v>
      </c>
      <c r="N10" s="30" t="n">
        <f aca="false">COUNTIFS(Quality_Results!$C$2:$C$300,$A10)</f>
        <v>0</v>
      </c>
      <c r="O10" s="32" t="str">
        <f aca="false">IFERROR(AVERAGEIFS(Quality_Results!$Q$2:$Q$300,Quality_Results!$C$2:$C$300,$A10),"")</f>
        <v/>
      </c>
      <c r="P10" s="31" t="str">
        <f aca="false">IFERROR(AVERAGEIFS(Quality_Results!$AF$2:$AF$300,Quality_Results!$C$2:$C$300,$A10),"")</f>
        <v/>
      </c>
    </row>
    <row r="11" customFormat="false" ht="15" hidden="false" customHeight="false" outlineLevel="0" collapsed="false">
      <c r="A11" s="29" t="str">
        <f aca="false">IF(Models!A11="","",Models!A11)</f>
        <v>gpt-oss-120b</v>
      </c>
      <c r="B11" s="29" t="str">
        <f aca="false">IF(Models!B11="","",Models!B11)</f>
        <v>gpt-oss-120b</v>
      </c>
      <c r="C11" s="29" t="str">
        <f aca="false">IF(Models!C11="","",Models!C11)</f>
        <v>OpenAI</v>
      </c>
      <c r="D11" s="29" t="str">
        <f aca="false">IF(Models!D11="","",Models!D11)</f>
        <v>USA</v>
      </c>
      <c r="E11" s="30" t="n">
        <f aca="false">COUNTIFS(Perf_Results!$C$2:$C$400,$A11)</f>
        <v>0</v>
      </c>
      <c r="F11" s="20" t="str">
        <f aca="false">IF($E11=0,"",IFERROR(_xlfn.MAXIFS(Perf_Results!$AI$2:$AI$400,Perf_Results!$C$2:$C$400,$A11),""))</f>
        <v/>
      </c>
      <c r="G11" s="20" t="str">
        <f aca="false">IF($E11=0,"",IFERROR(_xlfn.MAXIFS(Perf_Results!$AS$2:$AS$400,Perf_Results!$C$2:$C$400,$A11),""))</f>
        <v/>
      </c>
      <c r="H11" s="20" t="str">
        <f aca="false">IFERROR(AVERAGEIFS(Perf_Results!$Z$2:$Z$400,Perf_Results!$C$2:$C$400,$A11,Perf_Results!$O$2:$O$400,1),"")</f>
        <v/>
      </c>
      <c r="I11" s="31" t="str">
        <f aca="false">IFERROR(AVERAGEIFS(Perf_Results!$AL$2:$AL$400,Perf_Results!$C$2:$C$400,$A11),"")</f>
        <v/>
      </c>
      <c r="J11" s="32" t="str">
        <f aca="false">IF($E11=0,"",IFERROR(_xlfn.MAXIFS(Perf_Results!$AU$2:$AU$400,Perf_Results!$C$2:$C$400,$A11),""))</f>
        <v/>
      </c>
      <c r="K11" s="33" t="str">
        <f aca="false">IF($E11=0,"",IFERROR(_xlfn.MINIFS(Perf_Results!$AW$2:$AW$400,Perf_Results!$C$2:$C$400,$A11),""))</f>
        <v/>
      </c>
      <c r="L11" s="34" t="str">
        <f aca="false">IFERROR(AVERAGEIFS(Perf_Results!$AR$2:$AR$400,Perf_Results!$C$2:$C$400,$A11),"")</f>
        <v/>
      </c>
      <c r="M11" s="30" t="n">
        <f aca="false">COUNTIFS(Perf_Results!$C$2:$C$400,$A11,Perf_Results!$AX$2:$AX$400,"PASS",Perf_Results!$AY$2:$AY$400,"PASS")</f>
        <v>0</v>
      </c>
      <c r="N11" s="30" t="n">
        <f aca="false">COUNTIFS(Quality_Results!$C$2:$C$300,$A11)</f>
        <v>0</v>
      </c>
      <c r="O11" s="32" t="str">
        <f aca="false">IFERROR(AVERAGEIFS(Quality_Results!$Q$2:$Q$300,Quality_Results!$C$2:$C$300,$A11),"")</f>
        <v/>
      </c>
      <c r="P11" s="31" t="str">
        <f aca="false">IFERROR(AVERAGEIFS(Quality_Results!$AF$2:$AF$300,Quality_Results!$C$2:$C$300,$A11),"")</f>
        <v/>
      </c>
    </row>
    <row r="12" customFormat="false" ht="15" hidden="false" customHeight="false" outlineLevel="0" collapsed="false">
      <c r="A12" s="29" t="str">
        <f aca="false">IF(Models!A12="","",Models!A12)</f>
        <v>gemma-3-27b</v>
      </c>
      <c r="B12" s="29" t="str">
        <f aca="false">IF(Models!B12="","",Models!B12)</f>
        <v>Gemma 3 27B IT</v>
      </c>
      <c r="C12" s="29" t="str">
        <f aca="false">IF(Models!C12="","",Models!C12)</f>
        <v>Google</v>
      </c>
      <c r="D12" s="29" t="str">
        <f aca="false">IF(Models!D12="","",Models!D12)</f>
        <v>USA</v>
      </c>
      <c r="E12" s="30" t="n">
        <f aca="false">COUNTIFS(Perf_Results!$C$2:$C$400,$A12)</f>
        <v>0</v>
      </c>
      <c r="F12" s="20" t="str">
        <f aca="false">IF($E12=0,"",IFERROR(_xlfn.MAXIFS(Perf_Results!$AI$2:$AI$400,Perf_Results!$C$2:$C$400,$A12),""))</f>
        <v/>
      </c>
      <c r="G12" s="20" t="str">
        <f aca="false">IF($E12=0,"",IFERROR(_xlfn.MAXIFS(Perf_Results!$AS$2:$AS$400,Perf_Results!$C$2:$C$400,$A12),""))</f>
        <v/>
      </c>
      <c r="H12" s="20" t="str">
        <f aca="false">IFERROR(AVERAGEIFS(Perf_Results!$Z$2:$Z$400,Perf_Results!$C$2:$C$400,$A12,Perf_Results!$O$2:$O$400,1),"")</f>
        <v/>
      </c>
      <c r="I12" s="31" t="str">
        <f aca="false">IFERROR(AVERAGEIFS(Perf_Results!$AL$2:$AL$400,Perf_Results!$C$2:$C$400,$A12),"")</f>
        <v/>
      </c>
      <c r="J12" s="32" t="str">
        <f aca="false">IF($E12=0,"",IFERROR(_xlfn.MAXIFS(Perf_Results!$AU$2:$AU$400,Perf_Results!$C$2:$C$400,$A12),""))</f>
        <v/>
      </c>
      <c r="K12" s="33" t="str">
        <f aca="false">IF($E12=0,"",IFERROR(_xlfn.MINIFS(Perf_Results!$AW$2:$AW$400,Perf_Results!$C$2:$C$400,$A12),""))</f>
        <v/>
      </c>
      <c r="L12" s="34" t="str">
        <f aca="false">IFERROR(AVERAGEIFS(Perf_Results!$AR$2:$AR$400,Perf_Results!$C$2:$C$400,$A12),"")</f>
        <v/>
      </c>
      <c r="M12" s="30" t="n">
        <f aca="false">COUNTIFS(Perf_Results!$C$2:$C$400,$A12,Perf_Results!$AX$2:$AX$400,"PASS",Perf_Results!$AY$2:$AY$400,"PASS")</f>
        <v>0</v>
      </c>
      <c r="N12" s="30" t="n">
        <f aca="false">COUNTIFS(Quality_Results!$C$2:$C$300,$A12)</f>
        <v>0</v>
      </c>
      <c r="O12" s="32" t="str">
        <f aca="false">IFERROR(AVERAGEIFS(Quality_Results!$Q$2:$Q$300,Quality_Results!$C$2:$C$300,$A12),"")</f>
        <v/>
      </c>
      <c r="P12" s="31" t="str">
        <f aca="false">IFERROR(AVERAGEIFS(Quality_Results!$AF$2:$AF$300,Quality_Results!$C$2:$C$300,$A12),"")</f>
        <v/>
      </c>
    </row>
    <row r="13" customFormat="false" ht="15" hidden="false" customHeight="false" outlineLevel="0" collapsed="false">
      <c r="A13" s="29" t="str">
        <f aca="false">IF(Models!A13="","",Models!A13)</f>
        <v>phi-4</v>
      </c>
      <c r="B13" s="29" t="str">
        <f aca="false">IF(Models!B13="","",Models!B13)</f>
        <v>Phi-4</v>
      </c>
      <c r="C13" s="29" t="str">
        <f aca="false">IF(Models!C13="","",Models!C13)</f>
        <v>Microsoft</v>
      </c>
      <c r="D13" s="29" t="str">
        <f aca="false">IF(Models!D13="","",Models!D13)</f>
        <v>USA</v>
      </c>
      <c r="E13" s="30" t="n">
        <f aca="false">COUNTIFS(Perf_Results!$C$2:$C$400,$A13)</f>
        <v>0</v>
      </c>
      <c r="F13" s="20" t="str">
        <f aca="false">IF($E13=0,"",IFERROR(_xlfn.MAXIFS(Perf_Results!$AI$2:$AI$400,Perf_Results!$C$2:$C$400,$A13),""))</f>
        <v/>
      </c>
      <c r="G13" s="20" t="str">
        <f aca="false">IF($E13=0,"",IFERROR(_xlfn.MAXIFS(Perf_Results!$AS$2:$AS$400,Perf_Results!$C$2:$C$400,$A13),""))</f>
        <v/>
      </c>
      <c r="H13" s="20" t="str">
        <f aca="false">IFERROR(AVERAGEIFS(Perf_Results!$Z$2:$Z$400,Perf_Results!$C$2:$C$400,$A13,Perf_Results!$O$2:$O$400,1),"")</f>
        <v/>
      </c>
      <c r="I13" s="31" t="str">
        <f aca="false">IFERROR(AVERAGEIFS(Perf_Results!$AL$2:$AL$400,Perf_Results!$C$2:$C$400,$A13),"")</f>
        <v/>
      </c>
      <c r="J13" s="32" t="str">
        <f aca="false">IF($E13=0,"",IFERROR(_xlfn.MAXIFS(Perf_Results!$AU$2:$AU$400,Perf_Results!$C$2:$C$400,$A13),""))</f>
        <v/>
      </c>
      <c r="K13" s="33" t="str">
        <f aca="false">IF($E13=0,"",IFERROR(_xlfn.MINIFS(Perf_Results!$AW$2:$AW$400,Perf_Results!$C$2:$C$400,$A13),""))</f>
        <v/>
      </c>
      <c r="L13" s="34" t="str">
        <f aca="false">IFERROR(AVERAGEIFS(Perf_Results!$AR$2:$AR$400,Perf_Results!$C$2:$C$400,$A13),"")</f>
        <v/>
      </c>
      <c r="M13" s="30" t="n">
        <f aca="false">COUNTIFS(Perf_Results!$C$2:$C$400,$A13,Perf_Results!$AX$2:$AX$400,"PASS",Perf_Results!$AY$2:$AY$400,"PASS")</f>
        <v>0</v>
      </c>
      <c r="N13" s="30" t="n">
        <f aca="false">COUNTIFS(Quality_Results!$C$2:$C$300,$A13)</f>
        <v>0</v>
      </c>
      <c r="O13" s="32" t="str">
        <f aca="false">IFERROR(AVERAGEIFS(Quality_Results!$Q$2:$Q$300,Quality_Results!$C$2:$C$300,$A13),"")</f>
        <v/>
      </c>
      <c r="P13" s="31" t="str">
        <f aca="false">IFERROR(AVERAGEIFS(Quality_Results!$AF$2:$AF$300,Quality_Results!$C$2:$C$300,$A13),"")</f>
        <v/>
      </c>
    </row>
    <row r="14" customFormat="false" ht="15" hidden="false" customHeight="false" outlineLevel="0" collapsed="false">
      <c r="A14" s="29" t="str">
        <f aca="false">IF(Models!A14="","",Models!A14)</f>
        <v>nemotron-super-49b</v>
      </c>
      <c r="B14" s="29" t="str">
        <f aca="false">IF(Models!B14="","",Models!B14)</f>
        <v>Llama Nemotron Super 49B</v>
      </c>
      <c r="C14" s="29" t="str">
        <f aca="false">IF(Models!C14="","",Models!C14)</f>
        <v>NVIDIA</v>
      </c>
      <c r="D14" s="29" t="str">
        <f aca="false">IF(Models!D14="","",Models!D14)</f>
        <v>USA</v>
      </c>
      <c r="E14" s="30" t="n">
        <f aca="false">COUNTIFS(Perf_Results!$C$2:$C$400,$A14)</f>
        <v>0</v>
      </c>
      <c r="F14" s="20" t="str">
        <f aca="false">IF($E14=0,"",IFERROR(_xlfn.MAXIFS(Perf_Results!$AI$2:$AI$400,Perf_Results!$C$2:$C$400,$A14),""))</f>
        <v/>
      </c>
      <c r="G14" s="20" t="str">
        <f aca="false">IF($E14=0,"",IFERROR(_xlfn.MAXIFS(Perf_Results!$AS$2:$AS$400,Perf_Results!$C$2:$C$400,$A14),""))</f>
        <v/>
      </c>
      <c r="H14" s="20" t="str">
        <f aca="false">IFERROR(AVERAGEIFS(Perf_Results!$Z$2:$Z$400,Perf_Results!$C$2:$C$400,$A14,Perf_Results!$O$2:$O$400,1),"")</f>
        <v/>
      </c>
      <c r="I14" s="31" t="str">
        <f aca="false">IFERROR(AVERAGEIFS(Perf_Results!$AL$2:$AL$400,Perf_Results!$C$2:$C$400,$A14),"")</f>
        <v/>
      </c>
      <c r="J14" s="32" t="str">
        <f aca="false">IF($E14=0,"",IFERROR(_xlfn.MAXIFS(Perf_Results!$AU$2:$AU$400,Perf_Results!$C$2:$C$400,$A14),""))</f>
        <v/>
      </c>
      <c r="K14" s="33" t="str">
        <f aca="false">IF($E14=0,"",IFERROR(_xlfn.MINIFS(Perf_Results!$AW$2:$AW$400,Perf_Results!$C$2:$C$400,$A14),""))</f>
        <v/>
      </c>
      <c r="L14" s="34" t="str">
        <f aca="false">IFERROR(AVERAGEIFS(Perf_Results!$AR$2:$AR$400,Perf_Results!$C$2:$C$400,$A14),"")</f>
        <v/>
      </c>
      <c r="M14" s="30" t="n">
        <f aca="false">COUNTIFS(Perf_Results!$C$2:$C$400,$A14,Perf_Results!$AX$2:$AX$400,"PASS",Perf_Results!$AY$2:$AY$400,"PASS")</f>
        <v>0</v>
      </c>
      <c r="N14" s="30" t="n">
        <f aca="false">COUNTIFS(Quality_Results!$C$2:$C$300,$A14)</f>
        <v>0</v>
      </c>
      <c r="O14" s="32" t="str">
        <f aca="false">IFERROR(AVERAGEIFS(Quality_Results!$Q$2:$Q$300,Quality_Results!$C$2:$C$300,$A14),"")</f>
        <v/>
      </c>
      <c r="P14" s="31" t="str">
        <f aca="false">IFERROR(AVERAGEIFS(Quality_Results!$AF$2:$AF$300,Quality_Results!$C$2:$C$300,$A14),"")</f>
        <v/>
      </c>
    </row>
    <row r="15" customFormat="false" ht="15" hidden="false" customHeight="false" outlineLevel="0" collapsed="false">
      <c r="A15" s="29" t="str">
        <f aca="false">IF(Models!A15="","",Models!A15)</f>
        <v>olmo-2-32b</v>
      </c>
      <c r="B15" s="29" t="str">
        <f aca="false">IF(Models!B15="","",Models!B15)</f>
        <v>OLMo 2 32B Instruct</v>
      </c>
      <c r="C15" s="29" t="str">
        <f aca="false">IF(Models!C15="","",Models!C15)</f>
        <v>Allen Institute (AI2)</v>
      </c>
      <c r="D15" s="29" t="str">
        <f aca="false">IF(Models!D15="","",Models!D15)</f>
        <v>USA</v>
      </c>
      <c r="E15" s="30" t="n">
        <f aca="false">COUNTIFS(Perf_Results!$C$2:$C$400,$A15)</f>
        <v>0</v>
      </c>
      <c r="F15" s="20" t="str">
        <f aca="false">IF($E15=0,"",IFERROR(_xlfn.MAXIFS(Perf_Results!$AI$2:$AI$400,Perf_Results!$C$2:$C$400,$A15),""))</f>
        <v/>
      </c>
      <c r="G15" s="20" t="str">
        <f aca="false">IF($E15=0,"",IFERROR(_xlfn.MAXIFS(Perf_Results!$AS$2:$AS$400,Perf_Results!$C$2:$C$400,$A15),""))</f>
        <v/>
      </c>
      <c r="H15" s="20" t="str">
        <f aca="false">IFERROR(AVERAGEIFS(Perf_Results!$Z$2:$Z$400,Perf_Results!$C$2:$C$400,$A15,Perf_Results!$O$2:$O$400,1),"")</f>
        <v/>
      </c>
      <c r="I15" s="31" t="str">
        <f aca="false">IFERROR(AVERAGEIFS(Perf_Results!$AL$2:$AL$400,Perf_Results!$C$2:$C$400,$A15),"")</f>
        <v/>
      </c>
      <c r="J15" s="32" t="str">
        <f aca="false">IF($E15=0,"",IFERROR(_xlfn.MAXIFS(Perf_Results!$AU$2:$AU$400,Perf_Results!$C$2:$C$400,$A15),""))</f>
        <v/>
      </c>
      <c r="K15" s="33" t="str">
        <f aca="false">IF($E15=0,"",IFERROR(_xlfn.MINIFS(Perf_Results!$AW$2:$AW$400,Perf_Results!$C$2:$C$400,$A15),""))</f>
        <v/>
      </c>
      <c r="L15" s="34" t="str">
        <f aca="false">IFERROR(AVERAGEIFS(Perf_Results!$AR$2:$AR$400,Perf_Results!$C$2:$C$400,$A15),"")</f>
        <v/>
      </c>
      <c r="M15" s="30" t="n">
        <f aca="false">COUNTIFS(Perf_Results!$C$2:$C$400,$A15,Perf_Results!$AX$2:$AX$400,"PASS",Perf_Results!$AY$2:$AY$400,"PASS")</f>
        <v>0</v>
      </c>
      <c r="N15" s="30" t="n">
        <f aca="false">COUNTIFS(Quality_Results!$C$2:$C$300,$A15)</f>
        <v>0</v>
      </c>
      <c r="O15" s="32" t="str">
        <f aca="false">IFERROR(AVERAGEIFS(Quality_Results!$Q$2:$Q$300,Quality_Results!$C$2:$C$300,$A15),"")</f>
        <v/>
      </c>
      <c r="P15" s="31" t="str">
        <f aca="false">IFERROR(AVERAGEIFS(Quality_Results!$AF$2:$AF$300,Quality_Results!$C$2:$C$300,$A15),"")</f>
        <v/>
      </c>
    </row>
    <row r="16" customFormat="false" ht="15" hidden="false" customHeight="false" outlineLevel="0" collapsed="false">
      <c r="A16" s="29" t="str">
        <f aca="false">IF(Models!A16="","",Models!A16)</f>
        <v>mistral-small-3</v>
      </c>
      <c r="B16" s="29" t="str">
        <f aca="false">IF(Models!B16="","",Models!B16)</f>
        <v>Mistral Small 3.x Instruct</v>
      </c>
      <c r="C16" s="29" t="str">
        <f aca="false">IF(Models!C16="","",Models!C16)</f>
        <v>Mistral AI</v>
      </c>
      <c r="D16" s="29" t="str">
        <f aca="false">IF(Models!D16="","",Models!D16)</f>
        <v>France</v>
      </c>
      <c r="E16" s="30" t="n">
        <f aca="false">COUNTIFS(Perf_Results!$C$2:$C$400,$A16)</f>
        <v>0</v>
      </c>
      <c r="F16" s="20" t="str">
        <f aca="false">IF($E16=0,"",IFERROR(_xlfn.MAXIFS(Perf_Results!$AI$2:$AI$400,Perf_Results!$C$2:$C$400,$A16),""))</f>
        <v/>
      </c>
      <c r="G16" s="20" t="str">
        <f aca="false">IF($E16=0,"",IFERROR(_xlfn.MAXIFS(Perf_Results!$AS$2:$AS$400,Perf_Results!$C$2:$C$400,$A16),""))</f>
        <v/>
      </c>
      <c r="H16" s="20" t="str">
        <f aca="false">IFERROR(AVERAGEIFS(Perf_Results!$Z$2:$Z$400,Perf_Results!$C$2:$C$400,$A16,Perf_Results!$O$2:$O$400,1),"")</f>
        <v/>
      </c>
      <c r="I16" s="31" t="str">
        <f aca="false">IFERROR(AVERAGEIFS(Perf_Results!$AL$2:$AL$400,Perf_Results!$C$2:$C$400,$A16),"")</f>
        <v/>
      </c>
      <c r="J16" s="32" t="str">
        <f aca="false">IF($E16=0,"",IFERROR(_xlfn.MAXIFS(Perf_Results!$AU$2:$AU$400,Perf_Results!$C$2:$C$400,$A16),""))</f>
        <v/>
      </c>
      <c r="K16" s="33" t="str">
        <f aca="false">IF($E16=0,"",IFERROR(_xlfn.MINIFS(Perf_Results!$AW$2:$AW$400,Perf_Results!$C$2:$C$400,$A16),""))</f>
        <v/>
      </c>
      <c r="L16" s="34" t="str">
        <f aca="false">IFERROR(AVERAGEIFS(Perf_Results!$AR$2:$AR$400,Perf_Results!$C$2:$C$400,$A16),"")</f>
        <v/>
      </c>
      <c r="M16" s="30" t="n">
        <f aca="false">COUNTIFS(Perf_Results!$C$2:$C$400,$A16,Perf_Results!$AX$2:$AX$400,"PASS",Perf_Results!$AY$2:$AY$400,"PASS")</f>
        <v>0</v>
      </c>
      <c r="N16" s="30" t="n">
        <f aca="false">COUNTIFS(Quality_Results!$C$2:$C$300,$A16)</f>
        <v>0</v>
      </c>
      <c r="O16" s="32" t="str">
        <f aca="false">IFERROR(AVERAGEIFS(Quality_Results!$Q$2:$Q$300,Quality_Results!$C$2:$C$300,$A16),"")</f>
        <v/>
      </c>
      <c r="P16" s="31" t="str">
        <f aca="false">IFERROR(AVERAGEIFS(Quality_Results!$AF$2:$AF$300,Quality_Results!$C$2:$C$300,$A16),"")</f>
        <v/>
      </c>
    </row>
    <row r="17" customFormat="false" ht="15" hidden="false" customHeight="false" outlineLevel="0" collapsed="false">
      <c r="A17" s="29" t="str">
        <f aca="false">IF(Models!A17="","",Models!A17)</f>
        <v>mixtral-8x22b</v>
      </c>
      <c r="B17" s="29" t="str">
        <f aca="false">IF(Models!B17="","",Models!B17)</f>
        <v>Mixtral 8x22B Instruct</v>
      </c>
      <c r="C17" s="29" t="str">
        <f aca="false">IF(Models!C17="","",Models!C17)</f>
        <v>Mistral AI</v>
      </c>
      <c r="D17" s="29" t="str">
        <f aca="false">IF(Models!D17="","",Models!D17)</f>
        <v>France</v>
      </c>
      <c r="E17" s="30" t="n">
        <f aca="false">COUNTIFS(Perf_Results!$C$2:$C$400,$A17)</f>
        <v>0</v>
      </c>
      <c r="F17" s="20" t="str">
        <f aca="false">IF($E17=0,"",IFERROR(_xlfn.MAXIFS(Perf_Results!$AI$2:$AI$400,Perf_Results!$C$2:$C$400,$A17),""))</f>
        <v/>
      </c>
      <c r="G17" s="20" t="str">
        <f aca="false">IF($E17=0,"",IFERROR(_xlfn.MAXIFS(Perf_Results!$AS$2:$AS$400,Perf_Results!$C$2:$C$400,$A17),""))</f>
        <v/>
      </c>
      <c r="H17" s="20" t="str">
        <f aca="false">IFERROR(AVERAGEIFS(Perf_Results!$Z$2:$Z$400,Perf_Results!$C$2:$C$400,$A17,Perf_Results!$O$2:$O$400,1),"")</f>
        <v/>
      </c>
      <c r="I17" s="31" t="str">
        <f aca="false">IFERROR(AVERAGEIFS(Perf_Results!$AL$2:$AL$400,Perf_Results!$C$2:$C$400,$A17),"")</f>
        <v/>
      </c>
      <c r="J17" s="32" t="str">
        <f aca="false">IF($E17=0,"",IFERROR(_xlfn.MAXIFS(Perf_Results!$AU$2:$AU$400,Perf_Results!$C$2:$C$400,$A17),""))</f>
        <v/>
      </c>
      <c r="K17" s="33" t="str">
        <f aca="false">IF($E17=0,"",IFERROR(_xlfn.MINIFS(Perf_Results!$AW$2:$AW$400,Perf_Results!$C$2:$C$400,$A17),""))</f>
        <v/>
      </c>
      <c r="L17" s="34" t="str">
        <f aca="false">IFERROR(AVERAGEIFS(Perf_Results!$AR$2:$AR$400,Perf_Results!$C$2:$C$400,$A17),"")</f>
        <v/>
      </c>
      <c r="M17" s="30" t="n">
        <f aca="false">COUNTIFS(Perf_Results!$C$2:$C$400,$A17,Perf_Results!$AX$2:$AX$400,"PASS",Perf_Results!$AY$2:$AY$400,"PASS")</f>
        <v>0</v>
      </c>
      <c r="N17" s="30" t="n">
        <f aca="false">COUNTIFS(Quality_Results!$C$2:$C$300,$A17)</f>
        <v>0</v>
      </c>
      <c r="O17" s="32" t="str">
        <f aca="false">IFERROR(AVERAGEIFS(Quality_Results!$Q$2:$Q$300,Quality_Results!$C$2:$C$300,$A17),"")</f>
        <v/>
      </c>
      <c r="P17" s="31" t="str">
        <f aca="false">IFERROR(AVERAGEIFS(Quality_Results!$AF$2:$AF$300,Quality_Results!$C$2:$C$300,$A17),"")</f>
        <v/>
      </c>
    </row>
    <row r="18" customFormat="false" ht="15" hidden="false" customHeight="false" outlineLevel="0" collapsed="false">
      <c r="A18" s="29" t="str">
        <f aca="false">IF(Models!A18="","",Models!A18)</f>
        <v>glm-4.5</v>
      </c>
      <c r="B18" s="29" t="str">
        <f aca="false">IF(Models!B18="","",Models!B18)</f>
        <v>GLM-4.5</v>
      </c>
      <c r="C18" s="29" t="str">
        <f aca="false">IF(Models!C18="","",Models!C18)</f>
        <v>Zhipu AI / Z.ai</v>
      </c>
      <c r="D18" s="29" t="str">
        <f aca="false">IF(Models!D18="","",Models!D18)</f>
        <v>China</v>
      </c>
      <c r="E18" s="30" t="n">
        <f aca="false">COUNTIFS(Perf_Results!$C$2:$C$400,$A18)</f>
        <v>0</v>
      </c>
      <c r="F18" s="20" t="str">
        <f aca="false">IF($E18=0,"",IFERROR(_xlfn.MAXIFS(Perf_Results!$AI$2:$AI$400,Perf_Results!$C$2:$C$400,$A18),""))</f>
        <v/>
      </c>
      <c r="G18" s="20" t="str">
        <f aca="false">IF($E18=0,"",IFERROR(_xlfn.MAXIFS(Perf_Results!$AS$2:$AS$400,Perf_Results!$C$2:$C$400,$A18),""))</f>
        <v/>
      </c>
      <c r="H18" s="20" t="str">
        <f aca="false">IFERROR(AVERAGEIFS(Perf_Results!$Z$2:$Z$400,Perf_Results!$C$2:$C$400,$A18,Perf_Results!$O$2:$O$400,1),"")</f>
        <v/>
      </c>
      <c r="I18" s="31" t="str">
        <f aca="false">IFERROR(AVERAGEIFS(Perf_Results!$AL$2:$AL$400,Perf_Results!$C$2:$C$400,$A18),"")</f>
        <v/>
      </c>
      <c r="J18" s="32" t="str">
        <f aca="false">IF($E18=0,"",IFERROR(_xlfn.MAXIFS(Perf_Results!$AU$2:$AU$400,Perf_Results!$C$2:$C$400,$A18),""))</f>
        <v/>
      </c>
      <c r="K18" s="33" t="str">
        <f aca="false">IF($E18=0,"",IFERROR(_xlfn.MINIFS(Perf_Results!$AW$2:$AW$400,Perf_Results!$C$2:$C$400,$A18),""))</f>
        <v/>
      </c>
      <c r="L18" s="34" t="str">
        <f aca="false">IFERROR(AVERAGEIFS(Perf_Results!$AR$2:$AR$400,Perf_Results!$C$2:$C$400,$A18),"")</f>
        <v/>
      </c>
      <c r="M18" s="30" t="n">
        <f aca="false">COUNTIFS(Perf_Results!$C$2:$C$400,$A18,Perf_Results!$AX$2:$AX$400,"PASS",Perf_Results!$AY$2:$AY$400,"PASS")</f>
        <v>0</v>
      </c>
      <c r="N18" s="30" t="n">
        <f aca="false">COUNTIFS(Quality_Results!$C$2:$C$300,$A18)</f>
        <v>0</v>
      </c>
      <c r="O18" s="32" t="str">
        <f aca="false">IFERROR(AVERAGEIFS(Quality_Results!$Q$2:$Q$300,Quality_Results!$C$2:$C$300,$A18),"")</f>
        <v/>
      </c>
      <c r="P18" s="31" t="str">
        <f aca="false">IFERROR(AVERAGEIFS(Quality_Results!$AF$2:$AF$300,Quality_Results!$C$2:$C$300,$A18),"")</f>
        <v/>
      </c>
    </row>
    <row r="19" customFormat="false" ht="15" hidden="false" customHeight="false" outlineLevel="0" collapsed="false">
      <c r="A19" s="29" t="str">
        <f aca="false">IF(Models!A19="","",Models!A19)</f>
        <v>kimi-k2</v>
      </c>
      <c r="B19" s="29" t="str">
        <f aca="false">IF(Models!B19="","",Models!B19)</f>
        <v>Kimi K2 Instruct</v>
      </c>
      <c r="C19" s="29" t="str">
        <f aca="false">IF(Models!C19="","",Models!C19)</f>
        <v>Moonshot AI</v>
      </c>
      <c r="D19" s="29" t="str">
        <f aca="false">IF(Models!D19="","",Models!D19)</f>
        <v>China</v>
      </c>
      <c r="E19" s="30" t="n">
        <f aca="false">COUNTIFS(Perf_Results!$C$2:$C$400,$A19)</f>
        <v>0</v>
      </c>
      <c r="F19" s="20" t="str">
        <f aca="false">IF($E19=0,"",IFERROR(_xlfn.MAXIFS(Perf_Results!$AI$2:$AI$400,Perf_Results!$C$2:$C$400,$A19),""))</f>
        <v/>
      </c>
      <c r="G19" s="20" t="str">
        <f aca="false">IF($E19=0,"",IFERROR(_xlfn.MAXIFS(Perf_Results!$AS$2:$AS$400,Perf_Results!$C$2:$C$400,$A19),""))</f>
        <v/>
      </c>
      <c r="H19" s="20" t="str">
        <f aca="false">IFERROR(AVERAGEIFS(Perf_Results!$Z$2:$Z$400,Perf_Results!$C$2:$C$400,$A19,Perf_Results!$O$2:$O$400,1),"")</f>
        <v/>
      </c>
      <c r="I19" s="31" t="str">
        <f aca="false">IFERROR(AVERAGEIFS(Perf_Results!$AL$2:$AL$400,Perf_Results!$C$2:$C$400,$A19),"")</f>
        <v/>
      </c>
      <c r="J19" s="32" t="str">
        <f aca="false">IF($E19=0,"",IFERROR(_xlfn.MAXIFS(Perf_Results!$AU$2:$AU$400,Perf_Results!$C$2:$C$400,$A19),""))</f>
        <v/>
      </c>
      <c r="K19" s="33" t="str">
        <f aca="false">IF($E19=0,"",IFERROR(_xlfn.MINIFS(Perf_Results!$AW$2:$AW$400,Perf_Results!$C$2:$C$400,$A19),""))</f>
        <v/>
      </c>
      <c r="L19" s="34" t="str">
        <f aca="false">IFERROR(AVERAGEIFS(Perf_Results!$AR$2:$AR$400,Perf_Results!$C$2:$C$400,$A19),"")</f>
        <v/>
      </c>
      <c r="M19" s="30" t="n">
        <f aca="false">COUNTIFS(Perf_Results!$C$2:$C$400,$A19,Perf_Results!$AX$2:$AX$400,"PASS",Perf_Results!$AY$2:$AY$400,"PASS")</f>
        <v>0</v>
      </c>
      <c r="N19" s="30" t="n">
        <f aca="false">COUNTIFS(Quality_Results!$C$2:$C$300,$A19)</f>
        <v>0</v>
      </c>
      <c r="O19" s="32" t="str">
        <f aca="false">IFERROR(AVERAGEIFS(Quality_Results!$Q$2:$Q$300,Quality_Results!$C$2:$C$300,$A19),"")</f>
        <v/>
      </c>
      <c r="P19" s="31" t="str">
        <f aca="false">IFERROR(AVERAGEIFS(Quality_Results!$AF$2:$AF$300,Quality_Results!$C$2:$C$300,$A19),"")</f>
        <v/>
      </c>
    </row>
    <row r="20" customFormat="false" ht="15" hidden="false" customHeight="false" outlineLevel="0" collapsed="false">
      <c r="A20" s="29" t="str">
        <f aca="false">IF(Models!A20="","",Models!A20)</f>
        <v>minimax-m1</v>
      </c>
      <c r="B20" s="29" t="str">
        <f aca="false">IF(Models!B20="","",Models!B20)</f>
        <v>MiniMax-M1</v>
      </c>
      <c r="C20" s="29" t="str">
        <f aca="false">IF(Models!C20="","",Models!C20)</f>
        <v>MiniMax</v>
      </c>
      <c r="D20" s="29" t="str">
        <f aca="false">IF(Models!D20="","",Models!D20)</f>
        <v>China</v>
      </c>
      <c r="E20" s="30" t="n">
        <f aca="false">COUNTIFS(Perf_Results!$C$2:$C$400,$A20)</f>
        <v>0</v>
      </c>
      <c r="F20" s="20" t="str">
        <f aca="false">IF($E20=0,"",IFERROR(_xlfn.MAXIFS(Perf_Results!$AI$2:$AI$400,Perf_Results!$C$2:$C$400,$A20),""))</f>
        <v/>
      </c>
      <c r="G20" s="20" t="str">
        <f aca="false">IF($E20=0,"",IFERROR(_xlfn.MAXIFS(Perf_Results!$AS$2:$AS$400,Perf_Results!$C$2:$C$400,$A20),""))</f>
        <v/>
      </c>
      <c r="H20" s="20" t="str">
        <f aca="false">IFERROR(AVERAGEIFS(Perf_Results!$Z$2:$Z$400,Perf_Results!$C$2:$C$400,$A20,Perf_Results!$O$2:$O$400,1),"")</f>
        <v/>
      </c>
      <c r="I20" s="31" t="str">
        <f aca="false">IFERROR(AVERAGEIFS(Perf_Results!$AL$2:$AL$400,Perf_Results!$C$2:$C$400,$A20),"")</f>
        <v/>
      </c>
      <c r="J20" s="32" t="str">
        <f aca="false">IF($E20=0,"",IFERROR(_xlfn.MAXIFS(Perf_Results!$AU$2:$AU$400,Perf_Results!$C$2:$C$400,$A20),""))</f>
        <v/>
      </c>
      <c r="K20" s="33" t="str">
        <f aca="false">IF($E20=0,"",IFERROR(_xlfn.MINIFS(Perf_Results!$AW$2:$AW$400,Perf_Results!$C$2:$C$400,$A20),""))</f>
        <v/>
      </c>
      <c r="L20" s="34" t="str">
        <f aca="false">IFERROR(AVERAGEIFS(Perf_Results!$AR$2:$AR$400,Perf_Results!$C$2:$C$400,$A20),"")</f>
        <v/>
      </c>
      <c r="M20" s="30" t="n">
        <f aca="false">COUNTIFS(Perf_Results!$C$2:$C$400,$A20,Perf_Results!$AX$2:$AX$400,"PASS",Perf_Results!$AY$2:$AY$400,"PASS")</f>
        <v>0</v>
      </c>
      <c r="N20" s="30" t="n">
        <f aca="false">COUNTIFS(Quality_Results!$C$2:$C$300,$A20)</f>
        <v>0</v>
      </c>
      <c r="O20" s="32" t="str">
        <f aca="false">IFERROR(AVERAGEIFS(Quality_Results!$Q$2:$Q$300,Quality_Results!$C$2:$C$300,$A20),"")</f>
        <v/>
      </c>
      <c r="P20" s="31" t="str">
        <f aca="false">IFERROR(AVERAGEIFS(Quality_Results!$AF$2:$AF$300,Quality_Results!$C$2:$C$300,$A20),"")</f>
        <v/>
      </c>
    </row>
    <row r="21" customFormat="false" ht="15" hidden="false" customHeight="false" outlineLevel="0" collapsed="false">
      <c r="A21" s="29" t="str">
        <f aca="false">IF(Models!A21="","",Models!A21)</f>
        <v>internlm3-8b</v>
      </c>
      <c r="B21" s="29" t="str">
        <f aca="false">IF(Models!B21="","",Models!B21)</f>
        <v>InternLM3 8B Instruct</v>
      </c>
      <c r="C21" s="29" t="str">
        <f aca="false">IF(Models!C21="","",Models!C21)</f>
        <v>Shanghai AI Lab</v>
      </c>
      <c r="D21" s="29" t="str">
        <f aca="false">IF(Models!D21="","",Models!D21)</f>
        <v>China</v>
      </c>
      <c r="E21" s="30" t="n">
        <f aca="false">COUNTIFS(Perf_Results!$C$2:$C$400,$A21)</f>
        <v>0</v>
      </c>
      <c r="F21" s="20" t="str">
        <f aca="false">IF($E21=0,"",IFERROR(_xlfn.MAXIFS(Perf_Results!$AI$2:$AI$400,Perf_Results!$C$2:$C$400,$A21),""))</f>
        <v/>
      </c>
      <c r="G21" s="20" t="str">
        <f aca="false">IF($E21=0,"",IFERROR(_xlfn.MAXIFS(Perf_Results!$AS$2:$AS$400,Perf_Results!$C$2:$C$400,$A21),""))</f>
        <v/>
      </c>
      <c r="H21" s="20" t="str">
        <f aca="false">IFERROR(AVERAGEIFS(Perf_Results!$Z$2:$Z$400,Perf_Results!$C$2:$C$400,$A21,Perf_Results!$O$2:$O$400,1),"")</f>
        <v/>
      </c>
      <c r="I21" s="31" t="str">
        <f aca="false">IFERROR(AVERAGEIFS(Perf_Results!$AL$2:$AL$400,Perf_Results!$C$2:$C$400,$A21),"")</f>
        <v/>
      </c>
      <c r="J21" s="32" t="str">
        <f aca="false">IF($E21=0,"",IFERROR(_xlfn.MAXIFS(Perf_Results!$AU$2:$AU$400,Perf_Results!$C$2:$C$400,$A21),""))</f>
        <v/>
      </c>
      <c r="K21" s="33" t="str">
        <f aca="false">IF($E21=0,"",IFERROR(_xlfn.MINIFS(Perf_Results!$AW$2:$AW$400,Perf_Results!$C$2:$C$400,$A21),""))</f>
        <v/>
      </c>
      <c r="L21" s="34" t="str">
        <f aca="false">IFERROR(AVERAGEIFS(Perf_Results!$AR$2:$AR$400,Perf_Results!$C$2:$C$400,$A21),"")</f>
        <v/>
      </c>
      <c r="M21" s="30" t="n">
        <f aca="false">COUNTIFS(Perf_Results!$C$2:$C$400,$A21,Perf_Results!$AX$2:$AX$400,"PASS",Perf_Results!$AY$2:$AY$400,"PASS")</f>
        <v>0</v>
      </c>
      <c r="N21" s="30" t="n">
        <f aca="false">COUNTIFS(Quality_Results!$C$2:$C$300,$A21)</f>
        <v>0</v>
      </c>
      <c r="O21" s="32" t="str">
        <f aca="false">IFERROR(AVERAGEIFS(Quality_Results!$Q$2:$Q$300,Quality_Results!$C$2:$C$300,$A21),"")</f>
        <v/>
      </c>
      <c r="P21" s="31" t="str">
        <f aca="false">IFERROR(AVERAGEIFS(Quality_Results!$AF$2:$AF$300,Quality_Results!$C$2:$C$300,$A21),"")</f>
        <v/>
      </c>
    </row>
    <row r="22" customFormat="false" ht="15" hidden="false" customHeight="false" outlineLevel="0" collapsed="false">
      <c r="A22" s="29" t="str">
        <f aca="false">IF(Models!A22="","",Models!A22)</f>
        <v>aya-expanse-32b</v>
      </c>
      <c r="B22" s="29" t="str">
        <f aca="false">IF(Models!B22="","",Models!B22)</f>
        <v>Aya Expanse 32B</v>
      </c>
      <c r="C22" s="29" t="str">
        <f aca="false">IF(Models!C22="","",Models!C22)</f>
        <v>Cohere</v>
      </c>
      <c r="D22" s="29" t="str">
        <f aca="false">IF(Models!D22="","",Models!D22)</f>
        <v>Canada</v>
      </c>
      <c r="E22" s="30" t="n">
        <f aca="false">COUNTIFS(Perf_Results!$C$2:$C$400,$A22)</f>
        <v>0</v>
      </c>
      <c r="F22" s="20" t="str">
        <f aca="false">IF($E22=0,"",IFERROR(_xlfn.MAXIFS(Perf_Results!$AI$2:$AI$400,Perf_Results!$C$2:$C$400,$A22),""))</f>
        <v/>
      </c>
      <c r="G22" s="20" t="str">
        <f aca="false">IF($E22=0,"",IFERROR(_xlfn.MAXIFS(Perf_Results!$AS$2:$AS$400,Perf_Results!$C$2:$C$400,$A22),""))</f>
        <v/>
      </c>
      <c r="H22" s="20" t="str">
        <f aca="false">IFERROR(AVERAGEIFS(Perf_Results!$Z$2:$Z$400,Perf_Results!$C$2:$C$400,$A22,Perf_Results!$O$2:$O$400,1),"")</f>
        <v/>
      </c>
      <c r="I22" s="31" t="str">
        <f aca="false">IFERROR(AVERAGEIFS(Perf_Results!$AL$2:$AL$400,Perf_Results!$C$2:$C$400,$A22),"")</f>
        <v/>
      </c>
      <c r="J22" s="32" t="str">
        <f aca="false">IF($E22=0,"",IFERROR(_xlfn.MAXIFS(Perf_Results!$AU$2:$AU$400,Perf_Results!$C$2:$C$400,$A22),""))</f>
        <v/>
      </c>
      <c r="K22" s="33" t="str">
        <f aca="false">IF($E22=0,"",IFERROR(_xlfn.MINIFS(Perf_Results!$AW$2:$AW$400,Perf_Results!$C$2:$C$400,$A22),""))</f>
        <v/>
      </c>
      <c r="L22" s="34" t="str">
        <f aca="false">IFERROR(AVERAGEIFS(Perf_Results!$AR$2:$AR$400,Perf_Results!$C$2:$C$400,$A22),"")</f>
        <v/>
      </c>
      <c r="M22" s="30" t="n">
        <f aca="false">COUNTIFS(Perf_Results!$C$2:$C$400,$A22,Perf_Results!$AX$2:$AX$400,"PASS",Perf_Results!$AY$2:$AY$400,"PASS")</f>
        <v>0</v>
      </c>
      <c r="N22" s="30" t="n">
        <f aca="false">COUNTIFS(Quality_Results!$C$2:$C$300,$A22)</f>
        <v>0</v>
      </c>
      <c r="O22" s="32" t="str">
        <f aca="false">IFERROR(AVERAGEIFS(Quality_Results!$Q$2:$Q$300,Quality_Results!$C$2:$C$300,$A22),"")</f>
        <v/>
      </c>
      <c r="P22" s="31" t="str">
        <f aca="false">IFERROR(AVERAGEIFS(Quality_Results!$AF$2:$AF$300,Quality_Results!$C$2:$C$300,$A22),"")</f>
        <v/>
      </c>
    </row>
    <row r="23" customFormat="false" ht="15" hidden="false" customHeight="false" outlineLevel="0" collapsed="false">
      <c r="A23" s="29" t="str">
        <f aca="false">IF(Models!A23="","",Models!A23)</f>
        <v>falcon3-10b</v>
      </c>
      <c r="B23" s="29" t="str">
        <f aca="false">IF(Models!B23="","",Models!B23)</f>
        <v>Falcon 3 10B Instruct</v>
      </c>
      <c r="C23" s="29" t="str">
        <f aca="false">IF(Models!C23="","",Models!C23)</f>
        <v>TII</v>
      </c>
      <c r="D23" s="29" t="str">
        <f aca="false">IF(Models!D23="","",Models!D23)</f>
        <v>UAE</v>
      </c>
      <c r="E23" s="30" t="n">
        <f aca="false">COUNTIFS(Perf_Results!$C$2:$C$400,$A23)</f>
        <v>0</v>
      </c>
      <c r="F23" s="20" t="str">
        <f aca="false">IF($E23=0,"",IFERROR(_xlfn.MAXIFS(Perf_Results!$AI$2:$AI$400,Perf_Results!$C$2:$C$400,$A23),""))</f>
        <v/>
      </c>
      <c r="G23" s="20" t="str">
        <f aca="false">IF($E23=0,"",IFERROR(_xlfn.MAXIFS(Perf_Results!$AS$2:$AS$400,Perf_Results!$C$2:$C$400,$A23),""))</f>
        <v/>
      </c>
      <c r="H23" s="20" t="str">
        <f aca="false">IFERROR(AVERAGEIFS(Perf_Results!$Z$2:$Z$400,Perf_Results!$C$2:$C$400,$A23,Perf_Results!$O$2:$O$400,1),"")</f>
        <v/>
      </c>
      <c r="I23" s="31" t="str">
        <f aca="false">IFERROR(AVERAGEIFS(Perf_Results!$AL$2:$AL$400,Perf_Results!$C$2:$C$400,$A23),"")</f>
        <v/>
      </c>
      <c r="J23" s="32" t="str">
        <f aca="false">IF($E23=0,"",IFERROR(_xlfn.MAXIFS(Perf_Results!$AU$2:$AU$400,Perf_Results!$C$2:$C$400,$A23),""))</f>
        <v/>
      </c>
      <c r="K23" s="33" t="str">
        <f aca="false">IF($E23=0,"",IFERROR(_xlfn.MINIFS(Perf_Results!$AW$2:$AW$400,Perf_Results!$C$2:$C$400,$A23),""))</f>
        <v/>
      </c>
      <c r="L23" s="34" t="str">
        <f aca="false">IFERROR(AVERAGEIFS(Perf_Results!$AR$2:$AR$400,Perf_Results!$C$2:$C$400,$A23),"")</f>
        <v/>
      </c>
      <c r="M23" s="30" t="n">
        <f aca="false">COUNTIFS(Perf_Results!$C$2:$C$400,$A23,Perf_Results!$AX$2:$AX$400,"PASS",Perf_Results!$AY$2:$AY$400,"PASS")</f>
        <v>0</v>
      </c>
      <c r="N23" s="30" t="n">
        <f aca="false">COUNTIFS(Quality_Results!$C$2:$C$300,$A23)</f>
        <v>0</v>
      </c>
      <c r="O23" s="32" t="str">
        <f aca="false">IFERROR(AVERAGEIFS(Quality_Results!$Q$2:$Q$300,Quality_Results!$C$2:$C$300,$A23),"")</f>
        <v/>
      </c>
      <c r="P23" s="31" t="str">
        <f aca="false">IFERROR(AVERAGEIFS(Quality_Results!$AF$2:$AF$300,Quality_Results!$C$2:$C$300,$A23),"")</f>
        <v/>
      </c>
    </row>
    <row r="24" customFormat="false" ht="15" hidden="false" customHeight="false" outlineLevel="0" collapsed="false">
      <c r="A24" s="29" t="str">
        <f aca="false">IF(Models!A24="","",Models!A24)</f>
        <v>jamba-1.5-mini</v>
      </c>
      <c r="B24" s="29" t="str">
        <f aca="false">IF(Models!B24="","",Models!B24)</f>
        <v>Jamba 1.5 Mini</v>
      </c>
      <c r="C24" s="29" t="str">
        <f aca="false">IF(Models!C24="","",Models!C24)</f>
        <v>AI21 Labs</v>
      </c>
      <c r="D24" s="29" t="str">
        <f aca="false">IF(Models!D24="","",Models!D24)</f>
        <v>Israel</v>
      </c>
      <c r="E24" s="30" t="n">
        <f aca="false">COUNTIFS(Perf_Results!$C$2:$C$400,$A24)</f>
        <v>0</v>
      </c>
      <c r="F24" s="20" t="str">
        <f aca="false">IF($E24=0,"",IFERROR(_xlfn.MAXIFS(Perf_Results!$AI$2:$AI$400,Perf_Results!$C$2:$C$400,$A24),""))</f>
        <v/>
      </c>
      <c r="G24" s="20" t="str">
        <f aca="false">IF($E24=0,"",IFERROR(_xlfn.MAXIFS(Perf_Results!$AS$2:$AS$400,Perf_Results!$C$2:$C$400,$A24),""))</f>
        <v/>
      </c>
      <c r="H24" s="20" t="str">
        <f aca="false">IFERROR(AVERAGEIFS(Perf_Results!$Z$2:$Z$400,Perf_Results!$C$2:$C$400,$A24,Perf_Results!$O$2:$O$400,1),"")</f>
        <v/>
      </c>
      <c r="I24" s="31" t="str">
        <f aca="false">IFERROR(AVERAGEIFS(Perf_Results!$AL$2:$AL$400,Perf_Results!$C$2:$C$400,$A24),"")</f>
        <v/>
      </c>
      <c r="J24" s="32" t="str">
        <f aca="false">IF($E24=0,"",IFERROR(_xlfn.MAXIFS(Perf_Results!$AU$2:$AU$400,Perf_Results!$C$2:$C$400,$A24),""))</f>
        <v/>
      </c>
      <c r="K24" s="33" t="str">
        <f aca="false">IF($E24=0,"",IFERROR(_xlfn.MINIFS(Perf_Results!$AW$2:$AW$400,Perf_Results!$C$2:$C$400,$A24),""))</f>
        <v/>
      </c>
      <c r="L24" s="34" t="str">
        <f aca="false">IFERROR(AVERAGEIFS(Perf_Results!$AR$2:$AR$400,Perf_Results!$C$2:$C$400,$A24),"")</f>
        <v/>
      </c>
      <c r="M24" s="30" t="n">
        <f aca="false">COUNTIFS(Perf_Results!$C$2:$C$400,$A24,Perf_Results!$AX$2:$AX$400,"PASS",Perf_Results!$AY$2:$AY$400,"PASS")</f>
        <v>0</v>
      </c>
      <c r="N24" s="30" t="n">
        <f aca="false">COUNTIFS(Quality_Results!$C$2:$C$300,$A24)</f>
        <v>0</v>
      </c>
      <c r="O24" s="32" t="str">
        <f aca="false">IFERROR(AVERAGEIFS(Quality_Results!$Q$2:$Q$300,Quality_Results!$C$2:$C$300,$A24),"")</f>
        <v/>
      </c>
      <c r="P24" s="31" t="str">
        <f aca="false">IFERROR(AVERAGEIFS(Quality_Results!$AF$2:$AF$300,Quality_Results!$C$2:$C$300,$A24),"")</f>
        <v/>
      </c>
    </row>
    <row r="25" customFormat="false" ht="15" hidden="false" customHeight="false" outlineLevel="0" collapsed="false">
      <c r="A25" s="29" t="str">
        <f aca="false">IF(Models!A25="","",Models!A25)</f>
        <v>exaone-4-32b</v>
      </c>
      <c r="B25" s="29" t="str">
        <f aca="false">IF(Models!B25="","",Models!B25)</f>
        <v>EXAONE 4.0 32B</v>
      </c>
      <c r="C25" s="29" t="str">
        <f aca="false">IF(Models!C25="","",Models!C25)</f>
        <v>LG AI Research</v>
      </c>
      <c r="D25" s="29" t="str">
        <f aca="false">IF(Models!D25="","",Models!D25)</f>
        <v>South Korea</v>
      </c>
      <c r="E25" s="30" t="n">
        <f aca="false">COUNTIFS(Perf_Results!$C$2:$C$400,$A25)</f>
        <v>0</v>
      </c>
      <c r="F25" s="20" t="str">
        <f aca="false">IF($E25=0,"",IFERROR(_xlfn.MAXIFS(Perf_Results!$AI$2:$AI$400,Perf_Results!$C$2:$C$400,$A25),""))</f>
        <v/>
      </c>
      <c r="G25" s="20" t="str">
        <f aca="false">IF($E25=0,"",IFERROR(_xlfn.MAXIFS(Perf_Results!$AS$2:$AS$400,Perf_Results!$C$2:$C$400,$A25),""))</f>
        <v/>
      </c>
      <c r="H25" s="20" t="str">
        <f aca="false">IFERROR(AVERAGEIFS(Perf_Results!$Z$2:$Z$400,Perf_Results!$C$2:$C$400,$A25,Perf_Results!$O$2:$O$400,1),"")</f>
        <v/>
      </c>
      <c r="I25" s="31" t="str">
        <f aca="false">IFERROR(AVERAGEIFS(Perf_Results!$AL$2:$AL$400,Perf_Results!$C$2:$C$400,$A25),"")</f>
        <v/>
      </c>
      <c r="J25" s="32" t="str">
        <f aca="false">IF($E25=0,"",IFERROR(_xlfn.MAXIFS(Perf_Results!$AU$2:$AU$400,Perf_Results!$C$2:$C$400,$A25),""))</f>
        <v/>
      </c>
      <c r="K25" s="33" t="str">
        <f aca="false">IF($E25=0,"",IFERROR(_xlfn.MINIFS(Perf_Results!$AW$2:$AW$400,Perf_Results!$C$2:$C$400,$A25),""))</f>
        <v/>
      </c>
      <c r="L25" s="34" t="str">
        <f aca="false">IFERROR(AVERAGEIFS(Perf_Results!$AR$2:$AR$400,Perf_Results!$C$2:$C$400,$A25),"")</f>
        <v/>
      </c>
      <c r="M25" s="30" t="n">
        <f aca="false">COUNTIFS(Perf_Results!$C$2:$C$400,$A25,Perf_Results!$AX$2:$AX$400,"PASS",Perf_Results!$AY$2:$AY$400,"PASS")</f>
        <v>0</v>
      </c>
      <c r="N25" s="30" t="n">
        <f aca="false">COUNTIFS(Quality_Results!$C$2:$C$300,$A25)</f>
        <v>0</v>
      </c>
      <c r="O25" s="32" t="str">
        <f aca="false">IFERROR(AVERAGEIFS(Quality_Results!$Q$2:$Q$300,Quality_Results!$C$2:$C$300,$A25),"")</f>
        <v/>
      </c>
      <c r="P25" s="31" t="str">
        <f aca="false">IFERROR(AVERAGEIFS(Quality_Results!$AF$2:$AF$300,Quality_Results!$C$2:$C$300,$A25),"")</f>
        <v/>
      </c>
    </row>
    <row r="26" customFormat="false" ht="15" hidden="false" customHeight="false" outlineLevel="0" collapsed="false">
      <c r="A26" s="29" t="str">
        <f aca="false">IF(Models!A26="","",Models!A26)</f>
        <v>sarvam-m</v>
      </c>
      <c r="B26" s="29" t="str">
        <f aca="false">IF(Models!B26="","",Models!B26)</f>
        <v>Sarvam-M</v>
      </c>
      <c r="C26" s="29" t="str">
        <f aca="false">IF(Models!C26="","",Models!C26)</f>
        <v>Sarvam AI</v>
      </c>
      <c r="D26" s="29" t="str">
        <f aca="false">IF(Models!D26="","",Models!D26)</f>
        <v>India</v>
      </c>
      <c r="E26" s="30" t="n">
        <f aca="false">COUNTIFS(Perf_Results!$C$2:$C$400,$A26)</f>
        <v>0</v>
      </c>
      <c r="F26" s="20" t="str">
        <f aca="false">IF($E26=0,"",IFERROR(_xlfn.MAXIFS(Perf_Results!$AI$2:$AI$400,Perf_Results!$C$2:$C$400,$A26),""))</f>
        <v/>
      </c>
      <c r="G26" s="20" t="str">
        <f aca="false">IF($E26=0,"",IFERROR(_xlfn.MAXIFS(Perf_Results!$AS$2:$AS$400,Perf_Results!$C$2:$C$400,$A26),""))</f>
        <v/>
      </c>
      <c r="H26" s="20" t="str">
        <f aca="false">IFERROR(AVERAGEIFS(Perf_Results!$Z$2:$Z$400,Perf_Results!$C$2:$C$400,$A26,Perf_Results!$O$2:$O$400,1),"")</f>
        <v/>
      </c>
      <c r="I26" s="31" t="str">
        <f aca="false">IFERROR(AVERAGEIFS(Perf_Results!$AL$2:$AL$400,Perf_Results!$C$2:$C$400,$A26),"")</f>
        <v/>
      </c>
      <c r="J26" s="32" t="str">
        <f aca="false">IF($E26=0,"",IFERROR(_xlfn.MAXIFS(Perf_Results!$AU$2:$AU$400,Perf_Results!$C$2:$C$400,$A26),""))</f>
        <v/>
      </c>
      <c r="K26" s="33" t="str">
        <f aca="false">IF($E26=0,"",IFERROR(_xlfn.MINIFS(Perf_Results!$AW$2:$AW$400,Perf_Results!$C$2:$C$400,$A26),""))</f>
        <v/>
      </c>
      <c r="L26" s="34" t="str">
        <f aca="false">IFERROR(AVERAGEIFS(Perf_Results!$AR$2:$AR$400,Perf_Results!$C$2:$C$400,$A26),"")</f>
        <v/>
      </c>
      <c r="M26" s="30" t="n">
        <f aca="false">COUNTIFS(Perf_Results!$C$2:$C$400,$A26,Perf_Results!$AX$2:$AX$400,"PASS",Perf_Results!$AY$2:$AY$400,"PASS")</f>
        <v>0</v>
      </c>
      <c r="N26" s="30" t="n">
        <f aca="false">COUNTIFS(Quality_Results!$C$2:$C$300,$A26)</f>
        <v>0</v>
      </c>
      <c r="O26" s="32" t="str">
        <f aca="false">IFERROR(AVERAGEIFS(Quality_Results!$Q$2:$Q$300,Quality_Results!$C$2:$C$300,$A26),"")</f>
        <v/>
      </c>
      <c r="P26" s="31" t="str">
        <f aca="false">IFERROR(AVERAGEIFS(Quality_Results!$AF$2:$AF$300,Quality_Results!$C$2:$C$300,$A26),"")</f>
        <v/>
      </c>
    </row>
    <row r="27" customFormat="false" ht="15" hidden="false" customHeight="false" outlineLevel="0" collapsed="false">
      <c r="A27" s="29" t="str">
        <f aca="false">IF(Models!A27="","",Models!A27)</f>
        <v>sea-lion-v3</v>
      </c>
      <c r="B27" s="29" t="str">
        <f aca="false">IF(Models!B27="","",Models!B27)</f>
        <v>SEA-LION v3 (Gemma-based)</v>
      </c>
      <c r="C27" s="29" t="str">
        <f aca="false">IF(Models!C27="","",Models!C27)</f>
        <v>AI Singapore</v>
      </c>
      <c r="D27" s="29" t="str">
        <f aca="false">IF(Models!D27="","",Models!D27)</f>
        <v>Singapore</v>
      </c>
      <c r="E27" s="30" t="n">
        <f aca="false">COUNTIFS(Perf_Results!$C$2:$C$400,$A27)</f>
        <v>0</v>
      </c>
      <c r="F27" s="20" t="str">
        <f aca="false">IF($E27=0,"",IFERROR(_xlfn.MAXIFS(Perf_Results!$AI$2:$AI$400,Perf_Results!$C$2:$C$400,$A27),""))</f>
        <v/>
      </c>
      <c r="G27" s="20" t="str">
        <f aca="false">IF($E27=0,"",IFERROR(_xlfn.MAXIFS(Perf_Results!$AS$2:$AS$400,Perf_Results!$C$2:$C$400,$A27),""))</f>
        <v/>
      </c>
      <c r="H27" s="20" t="str">
        <f aca="false">IFERROR(AVERAGEIFS(Perf_Results!$Z$2:$Z$400,Perf_Results!$C$2:$C$400,$A27,Perf_Results!$O$2:$O$400,1),"")</f>
        <v/>
      </c>
      <c r="I27" s="31" t="str">
        <f aca="false">IFERROR(AVERAGEIFS(Perf_Results!$AL$2:$AL$400,Perf_Results!$C$2:$C$400,$A27),"")</f>
        <v/>
      </c>
      <c r="J27" s="32" t="str">
        <f aca="false">IF($E27=0,"",IFERROR(_xlfn.MAXIFS(Perf_Results!$AU$2:$AU$400,Perf_Results!$C$2:$C$400,$A27),""))</f>
        <v/>
      </c>
      <c r="K27" s="33" t="str">
        <f aca="false">IF($E27=0,"",IFERROR(_xlfn.MINIFS(Perf_Results!$AW$2:$AW$400,Perf_Results!$C$2:$C$400,$A27),""))</f>
        <v/>
      </c>
      <c r="L27" s="34" t="str">
        <f aca="false">IFERROR(AVERAGEIFS(Perf_Results!$AR$2:$AR$400,Perf_Results!$C$2:$C$400,$A27),"")</f>
        <v/>
      </c>
      <c r="M27" s="30" t="n">
        <f aca="false">COUNTIFS(Perf_Results!$C$2:$C$400,$A27,Perf_Results!$AX$2:$AX$400,"PASS",Perf_Results!$AY$2:$AY$400,"PASS")</f>
        <v>0</v>
      </c>
      <c r="N27" s="30" t="n">
        <f aca="false">COUNTIFS(Quality_Results!$C$2:$C$300,$A27)</f>
        <v>0</v>
      </c>
      <c r="O27" s="32" t="str">
        <f aca="false">IFERROR(AVERAGEIFS(Quality_Results!$Q$2:$Q$300,Quality_Results!$C$2:$C$300,$A27),"")</f>
        <v/>
      </c>
      <c r="P27" s="31" t="str">
        <f aca="false">IFERROR(AVERAGEIFS(Quality_Results!$AF$2:$AF$300,Quality_Results!$C$2:$C$300,$A27),"")</f>
        <v/>
      </c>
    </row>
    <row r="29" customFormat="false" ht="15" hidden="false" customHeight="false" outlineLevel="0" collapsed="false">
      <c r="A29" s="5" t="s">
        <v>797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2026-07-31T10:11:41Z</dcterms:created>
  <dc:creator>openpyxl</dc:creator>
  <dc:description/>
  <dc:language>en-IN</dc:language>
  <cp:lastModifiedBy/>
  <dcterms:modified xsi:type="dcterms:W3CDTF">2026-07-31T10:11:41Z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